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en_skoroszyt" defaultThemeVersion="124226"/>
  <bookViews>
    <workbookView xWindow="240" yWindow="135" windowWidth="19980" windowHeight="7815"/>
  </bookViews>
  <sheets>
    <sheet name="Zagary" sheetId="2" r:id="rId1"/>
    <sheet name="Arkusz1" sheetId="1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Q18" i="2" l="1"/>
  <c r="E1" i="1" l="1"/>
  <c r="D1" i="1"/>
  <c r="B83" i="1" s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B82" i="1" l="1"/>
  <c r="C82" i="1"/>
  <c r="D83" i="1"/>
  <c r="C83" i="1"/>
  <c r="C2" i="1"/>
  <c r="B69" i="1" l="1"/>
  <c r="M14" i="2" s="1"/>
  <c r="B70" i="1"/>
  <c r="E82" i="1"/>
  <c r="D82" i="1"/>
  <c r="G82" i="1"/>
  <c r="F82" i="1"/>
  <c r="C70" i="1"/>
  <c r="C69" i="1"/>
  <c r="N14" i="2" s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M5" i="1"/>
  <c r="L5" i="1"/>
  <c r="M4" i="1"/>
  <c r="L4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E4" i="1"/>
  <c r="D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I4" i="1"/>
  <c r="H4" i="1"/>
  <c r="E5" i="1"/>
  <c r="D5" i="1"/>
  <c r="C72" i="1" l="1"/>
  <c r="C71" i="1"/>
  <c r="N13" i="2" s="1"/>
  <c r="B71" i="1"/>
  <c r="M13" i="2" s="1"/>
  <c r="B72" i="1"/>
  <c r="D70" i="1"/>
  <c r="D69" i="1"/>
  <c r="O14" i="2" s="1"/>
  <c r="E69" i="1"/>
  <c r="P14" i="2" s="1"/>
  <c r="E70" i="1"/>
  <c r="F70" i="1"/>
  <c r="F69" i="1"/>
  <c r="Q14" i="2" s="1"/>
  <c r="G70" i="1"/>
  <c r="G69" i="1"/>
  <c r="R14" i="2" s="1"/>
  <c r="B2" i="1"/>
  <c r="F72" i="1" l="1"/>
  <c r="F71" i="1"/>
  <c r="Q13" i="2" s="1"/>
  <c r="D71" i="1"/>
  <c r="O13" i="2" s="1"/>
  <c r="D72" i="1"/>
  <c r="C74" i="1"/>
  <c r="C73" i="1"/>
  <c r="N12" i="2" s="1"/>
  <c r="E71" i="1"/>
  <c r="P13" i="2" s="1"/>
  <c r="E72" i="1"/>
  <c r="B74" i="1"/>
  <c r="B73" i="1"/>
  <c r="M12" i="2" s="1"/>
  <c r="G72" i="1"/>
  <c r="G71" i="1"/>
  <c r="R13" i="2" s="1"/>
  <c r="A2" i="1"/>
  <c r="A13" i="1" s="1"/>
  <c r="B76" i="1" l="1"/>
  <c r="B75" i="1"/>
  <c r="M11" i="2" s="1"/>
  <c r="C76" i="1"/>
  <c r="C75" i="1"/>
  <c r="N11" i="2" s="1"/>
  <c r="F73" i="1"/>
  <c r="Q12" i="2" s="1"/>
  <c r="F74" i="1"/>
  <c r="E73" i="1"/>
  <c r="P12" i="2" s="1"/>
  <c r="E74" i="1"/>
  <c r="D74" i="1"/>
  <c r="D73" i="1"/>
  <c r="O12" i="2" s="1"/>
  <c r="G74" i="1"/>
  <c r="G73" i="1"/>
  <c r="R12" i="2" s="1"/>
  <c r="B5" i="1"/>
  <c r="B13" i="1"/>
  <c r="B9" i="1"/>
  <c r="A9" i="1"/>
  <c r="A5" i="1"/>
  <c r="D76" i="1" l="1"/>
  <c r="D75" i="1"/>
  <c r="O11" i="2" s="1"/>
  <c r="E75" i="1"/>
  <c r="P11" i="2" s="1"/>
  <c r="E76" i="1"/>
  <c r="G76" i="1"/>
  <c r="G75" i="1"/>
  <c r="R11" i="2" s="1"/>
  <c r="F75" i="1"/>
  <c r="Q11" i="2" s="1"/>
  <c r="F76" i="1"/>
</calcChain>
</file>

<file path=xl/sharedStrings.xml><?xml version="1.0" encoding="utf-8"?>
<sst xmlns="http://schemas.openxmlformats.org/spreadsheetml/2006/main" count="12" uniqueCount="8">
  <si>
    <t>x</t>
  </si>
  <si>
    <t>y</t>
  </si>
  <si>
    <t>godzina</t>
  </si>
  <si>
    <t>minuty</t>
  </si>
  <si>
    <t>sekundy</t>
  </si>
  <si>
    <t>Godzina</t>
  </si>
  <si>
    <t>Minuta</t>
  </si>
  <si>
    <t>Sekunda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</si>
</sst>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20"/>
      <color theme="1"/>
      <name val="Calibri"/>
      <family val="2"/>
      <charset val="238"/>
      <scheme val="minor"/>
    </font>
    <font>
      <sz val="22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ill="1"/>
    <xf numFmtId="0" fontId="1" fillId="0" borderId="0" xfId="0" applyFont="1" applyFill="1"/>
    <xf numFmtId="22" fontId="1" fillId="0" borderId="0" xfId="0" applyNumberFormat="1" applyFont="1" applyFill="1"/>
    <xf numFmtId="22" fontId="0" fillId="0" borderId="0" xfId="0" applyNumberFormat="1"/>
    <xf numFmtId="0" fontId="3" fillId="0" borderId="0" xfId="0" applyFont="1"/>
    <xf numFmtId="164" fontId="2" fillId="0" borderId="0" xfId="0" applyNumberFormat="1" applyFont="1" applyAlignment="1"/>
  </cellXfs>
  <cellStyles count="1">
    <cellStyle name="Normalny" xfId="0" builtinId="0"/>
  </cellStyles>
  <dxfs count="4">
    <dxf>
      <font>
        <color auto="1"/>
      </font>
      <fill>
        <patternFill>
          <bgColor theme="1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ont>
        <color rgb="FF0070C0"/>
      </font>
      <fill>
        <patternFill>
          <bgColor rgb="FF0070C0"/>
        </patternFill>
      </fill>
    </dxf>
    <dxf>
      <font>
        <color theme="8" tint="0.79998168889431442"/>
      </font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848045321102415E-2"/>
          <c:y val="6.386561679790026E-2"/>
          <c:w val="0.80766988181687271"/>
          <c:h val="0.89563654536163306"/>
        </c:manualLayout>
      </c:layout>
      <c:scatterChart>
        <c:scatterStyle val="lineMarker"/>
        <c:varyColors val="0"/>
        <c:ser>
          <c:idx val="5"/>
          <c:order val="0"/>
          <c:tx>
            <c:v>Kreskikrótkie</c:v>
          </c:tx>
          <c:marker>
            <c:symbol val="none"/>
          </c:marker>
          <c:dPt>
            <c:idx val="2"/>
            <c:bubble3D val="0"/>
            <c:spPr>
              <a:ln>
                <a:noFill/>
              </a:ln>
            </c:spPr>
          </c:dPt>
          <c:dPt>
            <c:idx val="4"/>
            <c:bubble3D val="0"/>
            <c:spPr>
              <a:ln>
                <a:noFill/>
              </a:ln>
            </c:spPr>
          </c:dPt>
          <c:dPt>
            <c:idx val="6"/>
            <c:bubble3D val="0"/>
            <c:spPr>
              <a:ln>
                <a:noFill/>
              </a:ln>
            </c:spPr>
          </c:dPt>
          <c:dPt>
            <c:idx val="8"/>
            <c:bubble3D val="0"/>
            <c:spPr>
              <a:ln>
                <a:noFill/>
              </a:ln>
            </c:spPr>
          </c:dPt>
          <c:dPt>
            <c:idx val="10"/>
            <c:bubble3D val="0"/>
            <c:spPr>
              <a:ln>
                <a:noFill/>
              </a:ln>
            </c:spPr>
          </c:dPt>
          <c:dPt>
            <c:idx val="12"/>
            <c:bubble3D val="0"/>
            <c:spPr>
              <a:ln>
                <a:noFill/>
              </a:ln>
            </c:spPr>
          </c:dPt>
          <c:dPt>
            <c:idx val="14"/>
            <c:bubble3D val="0"/>
            <c:spPr>
              <a:ln>
                <a:noFill/>
              </a:ln>
            </c:spPr>
          </c:dPt>
          <c:dPt>
            <c:idx val="16"/>
            <c:bubble3D val="0"/>
            <c:spPr>
              <a:ln>
                <a:noFill/>
              </a:ln>
            </c:spPr>
          </c:dPt>
          <c:dPt>
            <c:idx val="18"/>
            <c:bubble3D val="0"/>
            <c:spPr>
              <a:ln>
                <a:noFill/>
              </a:ln>
            </c:spPr>
          </c:dPt>
          <c:dPt>
            <c:idx val="20"/>
            <c:bubble3D val="0"/>
            <c:spPr>
              <a:ln>
                <a:noFill/>
              </a:ln>
            </c:spPr>
          </c:dPt>
          <c:dPt>
            <c:idx val="22"/>
            <c:bubble3D val="0"/>
            <c:spPr>
              <a:ln>
                <a:noFill/>
              </a:ln>
            </c:spPr>
          </c:dPt>
          <c:dPt>
            <c:idx val="24"/>
            <c:bubble3D val="0"/>
            <c:spPr>
              <a:ln>
                <a:noFill/>
              </a:ln>
            </c:spPr>
          </c:dPt>
          <c:dPt>
            <c:idx val="26"/>
            <c:bubble3D val="0"/>
            <c:spPr>
              <a:ln>
                <a:noFill/>
              </a:ln>
            </c:spPr>
          </c:dPt>
          <c:dPt>
            <c:idx val="28"/>
            <c:bubble3D val="0"/>
            <c:spPr>
              <a:ln>
                <a:noFill/>
              </a:ln>
            </c:spPr>
          </c:dPt>
          <c:dPt>
            <c:idx val="30"/>
            <c:bubble3D val="0"/>
            <c:spPr>
              <a:ln>
                <a:noFill/>
              </a:ln>
            </c:spPr>
          </c:dPt>
          <c:dPt>
            <c:idx val="32"/>
            <c:bubble3D val="0"/>
            <c:spPr>
              <a:ln>
                <a:noFill/>
              </a:ln>
            </c:spPr>
          </c:dPt>
          <c:dPt>
            <c:idx val="34"/>
            <c:bubble3D val="0"/>
            <c:spPr>
              <a:ln>
                <a:noFill/>
              </a:ln>
            </c:spPr>
          </c:dPt>
          <c:dPt>
            <c:idx val="36"/>
            <c:bubble3D val="0"/>
            <c:spPr>
              <a:ln>
                <a:noFill/>
              </a:ln>
            </c:spPr>
          </c:dPt>
          <c:dPt>
            <c:idx val="38"/>
            <c:bubble3D val="0"/>
            <c:spPr>
              <a:ln>
                <a:noFill/>
              </a:ln>
            </c:spPr>
          </c:dPt>
          <c:dPt>
            <c:idx val="40"/>
            <c:bubble3D val="0"/>
            <c:spPr>
              <a:ln>
                <a:noFill/>
              </a:ln>
            </c:spPr>
          </c:dPt>
          <c:dPt>
            <c:idx val="42"/>
            <c:bubble3D val="0"/>
            <c:spPr>
              <a:ln>
                <a:noFill/>
              </a:ln>
            </c:spPr>
          </c:dPt>
          <c:dPt>
            <c:idx val="44"/>
            <c:bubble3D val="0"/>
            <c:spPr>
              <a:ln>
                <a:noFill/>
              </a:ln>
            </c:spPr>
          </c:dPt>
          <c:dPt>
            <c:idx val="46"/>
            <c:bubble3D val="0"/>
            <c:spPr>
              <a:ln>
                <a:noFill/>
              </a:ln>
            </c:spPr>
          </c:dPt>
          <c:dPt>
            <c:idx val="48"/>
            <c:bubble3D val="0"/>
            <c:spPr>
              <a:ln>
                <a:noFill/>
              </a:ln>
            </c:spPr>
          </c:dPt>
          <c:dPt>
            <c:idx val="50"/>
            <c:bubble3D val="0"/>
            <c:spPr>
              <a:ln>
                <a:noFill/>
              </a:ln>
            </c:spPr>
          </c:dPt>
          <c:dPt>
            <c:idx val="52"/>
            <c:bubble3D val="0"/>
            <c:spPr>
              <a:ln>
                <a:noFill/>
              </a:ln>
            </c:spPr>
          </c:dPt>
          <c:dPt>
            <c:idx val="54"/>
            <c:bubble3D val="0"/>
            <c:spPr>
              <a:ln>
                <a:noFill/>
              </a:ln>
            </c:spPr>
          </c:dPt>
          <c:dPt>
            <c:idx val="56"/>
            <c:bubble3D val="0"/>
            <c:spPr>
              <a:ln>
                <a:noFill/>
              </a:ln>
            </c:spPr>
          </c:dPt>
          <c:dPt>
            <c:idx val="58"/>
            <c:bubble3D val="0"/>
            <c:spPr>
              <a:ln>
                <a:noFill/>
              </a:ln>
            </c:spPr>
          </c:dPt>
          <c:dPt>
            <c:idx val="60"/>
            <c:bubble3D val="0"/>
            <c:spPr>
              <a:ln>
                <a:noFill/>
              </a:ln>
            </c:spPr>
          </c:dPt>
          <c:dPt>
            <c:idx val="62"/>
            <c:bubble3D val="0"/>
            <c:spPr>
              <a:ln>
                <a:noFill/>
              </a:ln>
            </c:spPr>
          </c:dPt>
          <c:dPt>
            <c:idx val="64"/>
            <c:bubble3D val="0"/>
            <c:spPr>
              <a:ln>
                <a:noFill/>
              </a:ln>
            </c:spPr>
          </c:dPt>
          <c:dPt>
            <c:idx val="66"/>
            <c:bubble3D val="0"/>
            <c:spPr>
              <a:ln>
                <a:noFill/>
              </a:ln>
            </c:spPr>
          </c:dPt>
          <c:dPt>
            <c:idx val="68"/>
            <c:bubble3D val="0"/>
            <c:spPr>
              <a:ln>
                <a:noFill/>
              </a:ln>
            </c:spPr>
          </c:dPt>
          <c:dPt>
            <c:idx val="70"/>
            <c:bubble3D val="0"/>
            <c:spPr>
              <a:ln>
                <a:noFill/>
              </a:ln>
            </c:spPr>
          </c:dPt>
          <c:dPt>
            <c:idx val="72"/>
            <c:bubble3D val="0"/>
            <c:spPr>
              <a:ln>
                <a:noFill/>
              </a:ln>
            </c:spPr>
          </c:dPt>
          <c:dPt>
            <c:idx val="74"/>
            <c:bubble3D val="0"/>
            <c:spPr>
              <a:ln>
                <a:noFill/>
              </a:ln>
            </c:spPr>
          </c:dPt>
          <c:dPt>
            <c:idx val="76"/>
            <c:bubble3D val="0"/>
            <c:spPr>
              <a:ln>
                <a:noFill/>
              </a:ln>
            </c:spPr>
          </c:dPt>
          <c:dPt>
            <c:idx val="78"/>
            <c:bubble3D val="0"/>
            <c:spPr>
              <a:ln>
                <a:noFill/>
              </a:ln>
            </c:spPr>
          </c:dPt>
          <c:dPt>
            <c:idx val="80"/>
            <c:bubble3D val="0"/>
            <c:spPr>
              <a:ln>
                <a:noFill/>
              </a:ln>
            </c:spPr>
          </c:dPt>
          <c:dPt>
            <c:idx val="82"/>
            <c:bubble3D val="0"/>
            <c:spPr>
              <a:ln>
                <a:noFill/>
              </a:ln>
            </c:spPr>
          </c:dPt>
          <c:dPt>
            <c:idx val="84"/>
            <c:bubble3D val="0"/>
            <c:spPr>
              <a:ln>
                <a:noFill/>
              </a:ln>
            </c:spPr>
          </c:dPt>
          <c:dPt>
            <c:idx val="86"/>
            <c:bubble3D val="0"/>
            <c:spPr>
              <a:ln>
                <a:noFill/>
              </a:ln>
            </c:spPr>
          </c:dPt>
          <c:dPt>
            <c:idx val="88"/>
            <c:bubble3D val="0"/>
            <c:spPr>
              <a:ln>
                <a:noFill/>
              </a:ln>
            </c:spPr>
          </c:dPt>
          <c:dPt>
            <c:idx val="90"/>
            <c:bubble3D val="0"/>
            <c:spPr>
              <a:ln>
                <a:noFill/>
              </a:ln>
            </c:spPr>
          </c:dPt>
          <c:dPt>
            <c:idx val="92"/>
            <c:bubble3D val="0"/>
            <c:spPr>
              <a:ln>
                <a:noFill/>
              </a:ln>
            </c:spPr>
          </c:dPt>
          <c:dPt>
            <c:idx val="94"/>
            <c:bubble3D val="0"/>
            <c:spPr>
              <a:ln>
                <a:noFill/>
              </a:ln>
            </c:spPr>
          </c:dPt>
          <c:dPt>
            <c:idx val="96"/>
            <c:bubble3D val="0"/>
            <c:spPr>
              <a:ln>
                <a:noFill/>
              </a:ln>
            </c:spPr>
          </c:dPt>
          <c:dPt>
            <c:idx val="98"/>
            <c:bubble3D val="0"/>
            <c:spPr>
              <a:ln>
                <a:noFill/>
              </a:ln>
            </c:spPr>
          </c:dPt>
          <c:dPt>
            <c:idx val="100"/>
            <c:bubble3D val="0"/>
            <c:spPr>
              <a:ln>
                <a:noFill/>
              </a:ln>
            </c:spPr>
          </c:dPt>
          <c:dPt>
            <c:idx val="102"/>
            <c:bubble3D val="0"/>
            <c:spPr>
              <a:ln>
                <a:noFill/>
              </a:ln>
            </c:spPr>
          </c:dPt>
          <c:dPt>
            <c:idx val="104"/>
            <c:bubble3D val="0"/>
            <c:spPr>
              <a:ln>
                <a:noFill/>
              </a:ln>
            </c:spPr>
          </c:dPt>
          <c:dPt>
            <c:idx val="106"/>
            <c:bubble3D val="0"/>
            <c:spPr>
              <a:ln>
                <a:noFill/>
              </a:ln>
            </c:spPr>
          </c:dPt>
          <c:dPt>
            <c:idx val="108"/>
            <c:bubble3D val="0"/>
            <c:spPr>
              <a:ln>
                <a:noFill/>
              </a:ln>
            </c:spPr>
          </c:dPt>
          <c:dPt>
            <c:idx val="110"/>
            <c:bubble3D val="0"/>
            <c:spPr>
              <a:ln>
                <a:noFill/>
              </a:ln>
            </c:spPr>
          </c:dPt>
          <c:dPt>
            <c:idx val="112"/>
            <c:bubble3D val="0"/>
            <c:spPr>
              <a:ln>
                <a:noFill/>
              </a:ln>
            </c:spPr>
          </c:dPt>
          <c:dPt>
            <c:idx val="114"/>
            <c:bubble3D val="0"/>
            <c:spPr>
              <a:ln>
                <a:noFill/>
              </a:ln>
            </c:spPr>
          </c:dPt>
          <c:dPt>
            <c:idx val="116"/>
            <c:bubble3D val="0"/>
            <c:spPr>
              <a:ln>
                <a:noFill/>
              </a:ln>
            </c:spPr>
          </c:dPt>
          <c:dPt>
            <c:idx val="118"/>
            <c:bubble3D val="0"/>
            <c:spPr>
              <a:ln>
                <a:noFill/>
              </a:ln>
            </c:spPr>
          </c:dPt>
          <c:dPt>
            <c:idx val="120"/>
            <c:bubble3D val="0"/>
            <c:spPr>
              <a:ln>
                <a:noFill/>
              </a:ln>
            </c:spPr>
          </c:dPt>
          <c:xVal>
            <c:numRef>
              <c:f>Arkusz1!$L$4:$L$124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1.202077327578015</c:v>
                </c:pt>
                <c:pt idx="3">
                  <c:v>1.2543415592118417</c:v>
                </c:pt>
                <c:pt idx="4">
                  <c:v>2.3909844444042325</c:v>
                </c:pt>
                <c:pt idx="5">
                  <c:v>2.4949402898131119</c:v>
                </c:pt>
                <c:pt idx="6">
                  <c:v>3.5536954353118952</c:v>
                </c:pt>
                <c:pt idx="7">
                  <c:v>3.7082039324993685</c:v>
                </c:pt>
                <c:pt idx="8">
                  <c:v>4.6774713953717022</c:v>
                </c:pt>
                <c:pt idx="9">
                  <c:v>4.8808397169096027</c:v>
                </c:pt>
                <c:pt idx="10">
                  <c:v>5.7499999999999991</c:v>
                </c:pt>
                <c:pt idx="11">
                  <c:v>5.9999999999999991</c:v>
                </c:pt>
                <c:pt idx="12">
                  <c:v>6.759530401363441</c:v>
                </c:pt>
                <c:pt idx="13">
                  <c:v>7.0534230275096776</c:v>
                </c:pt>
                <c:pt idx="14">
                  <c:v>7.6950019731268693</c:v>
                </c:pt>
                <c:pt idx="15">
                  <c:v>8.0295672763062989</c:v>
                </c:pt>
                <c:pt idx="16">
                  <c:v>8.546165492990033</c:v>
                </c:pt>
                <c:pt idx="17">
                  <c:v>8.9177379057287318</c:v>
                </c:pt>
                <c:pt idx="18">
                  <c:v>9.3036954353118961</c:v>
                </c:pt>
                <c:pt idx="19">
                  <c:v>9.7082039324993694</c:v>
                </c:pt>
                <c:pt idx="20">
                  <c:v>9.9592921435210435</c:v>
                </c:pt>
                <c:pt idx="21">
                  <c:v>10.392304845413264</c:v>
                </c:pt>
                <c:pt idx="22">
                  <c:v>10.50577276288991</c:v>
                </c:pt>
                <c:pt idx="23">
                  <c:v>10.962545491711211</c:v>
                </c:pt>
                <c:pt idx="24">
                  <c:v>10.937149937394265</c:v>
                </c:pt>
                <c:pt idx="25">
                  <c:v>11.412678195541842</c:v>
                </c:pt>
                <c:pt idx="26">
                  <c:v>11.248697408438764</c:v>
                </c:pt>
                <c:pt idx="27">
                  <c:v>11.737771208805666</c:v>
                </c:pt>
                <c:pt idx="28">
                  <c:v>11.437001796735142</c:v>
                </c:pt>
                <c:pt idx="29">
                  <c:v>11.934262744419279</c:v>
                </c:pt>
                <c:pt idx="30">
                  <c:v>11.5</c:v>
                </c:pt>
                <c:pt idx="31">
                  <c:v>12</c:v>
                </c:pt>
                <c:pt idx="32">
                  <c:v>11.437001796735142</c:v>
                </c:pt>
                <c:pt idx="33">
                  <c:v>11.934262744419279</c:v>
                </c:pt>
                <c:pt idx="34">
                  <c:v>11.248697408438765</c:v>
                </c:pt>
                <c:pt idx="35">
                  <c:v>11.737771208805668</c:v>
                </c:pt>
                <c:pt idx="36">
                  <c:v>10.937149937394267</c:v>
                </c:pt>
                <c:pt idx="37">
                  <c:v>11.412678195541844</c:v>
                </c:pt>
                <c:pt idx="38">
                  <c:v>10.50577276288991</c:v>
                </c:pt>
                <c:pt idx="39">
                  <c:v>10.962545491711211</c:v>
                </c:pt>
                <c:pt idx="40">
                  <c:v>9.9592921435210453</c:v>
                </c:pt>
                <c:pt idx="41">
                  <c:v>10.392304845413264</c:v>
                </c:pt>
                <c:pt idx="42">
                  <c:v>9.3036954353118961</c:v>
                </c:pt>
                <c:pt idx="43">
                  <c:v>9.7082039324993694</c:v>
                </c:pt>
                <c:pt idx="44">
                  <c:v>8.546165492990033</c:v>
                </c:pt>
                <c:pt idx="45">
                  <c:v>8.9177379057287318</c:v>
                </c:pt>
                <c:pt idx="46">
                  <c:v>7.6950019731268711</c:v>
                </c:pt>
                <c:pt idx="47">
                  <c:v>8.0295672763063006</c:v>
                </c:pt>
                <c:pt idx="48">
                  <c:v>6.7595304013634427</c:v>
                </c:pt>
                <c:pt idx="49">
                  <c:v>7.0534230275096785</c:v>
                </c:pt>
                <c:pt idx="50">
                  <c:v>5.7499999999999991</c:v>
                </c:pt>
                <c:pt idx="51">
                  <c:v>5.9999999999999991</c:v>
                </c:pt>
                <c:pt idx="52">
                  <c:v>4.6774713953717049</c:v>
                </c:pt>
                <c:pt idx="53">
                  <c:v>4.8808397169096054</c:v>
                </c:pt>
                <c:pt idx="54">
                  <c:v>3.5536954353118961</c:v>
                </c:pt>
                <c:pt idx="55">
                  <c:v>3.7082039324993703</c:v>
                </c:pt>
                <c:pt idx="56">
                  <c:v>2.3909844444042321</c:v>
                </c:pt>
                <c:pt idx="57">
                  <c:v>2.4949402898131119</c:v>
                </c:pt>
                <c:pt idx="58">
                  <c:v>1.2020773275780179</c:v>
                </c:pt>
                <c:pt idx="59">
                  <c:v>1.2543415592118448</c:v>
                </c:pt>
                <c:pt idx="60">
                  <c:v>1.408920723144913E-15</c:v>
                </c:pt>
                <c:pt idx="61">
                  <c:v>1.470178145890344E-15</c:v>
                </c:pt>
                <c:pt idx="62">
                  <c:v>-1.2020773275780152</c:v>
                </c:pt>
                <c:pt idx="63">
                  <c:v>-1.2543415592118419</c:v>
                </c:pt>
                <c:pt idx="64">
                  <c:v>-2.3909844444042343</c:v>
                </c:pt>
                <c:pt idx="65">
                  <c:v>-2.4949402898131141</c:v>
                </c:pt>
                <c:pt idx="66">
                  <c:v>-3.5536954353118939</c:v>
                </c:pt>
                <c:pt idx="67">
                  <c:v>-3.7082039324993676</c:v>
                </c:pt>
                <c:pt idx="68">
                  <c:v>-4.6774713953717022</c:v>
                </c:pt>
                <c:pt idx="69">
                  <c:v>-4.8808397169096027</c:v>
                </c:pt>
                <c:pt idx="70">
                  <c:v>-5.7500000000000009</c:v>
                </c:pt>
                <c:pt idx="71">
                  <c:v>-6.0000000000000018</c:v>
                </c:pt>
                <c:pt idx="72">
                  <c:v>-6.7595304013634401</c:v>
                </c:pt>
                <c:pt idx="73">
                  <c:v>-7.0534230275096768</c:v>
                </c:pt>
                <c:pt idx="74">
                  <c:v>-7.6950019731268693</c:v>
                </c:pt>
                <c:pt idx="75">
                  <c:v>-8.0295672763062989</c:v>
                </c:pt>
                <c:pt idx="76">
                  <c:v>-8.5461654929900348</c:v>
                </c:pt>
                <c:pt idx="77">
                  <c:v>-8.9177379057287318</c:v>
                </c:pt>
                <c:pt idx="78">
                  <c:v>-9.3036954353118944</c:v>
                </c:pt>
                <c:pt idx="79">
                  <c:v>-9.7082039324993676</c:v>
                </c:pt>
                <c:pt idx="80">
                  <c:v>-9.9592921435210418</c:v>
                </c:pt>
                <c:pt idx="81">
                  <c:v>-10.39230484541326</c:v>
                </c:pt>
                <c:pt idx="82">
                  <c:v>-10.505772762889912</c:v>
                </c:pt>
                <c:pt idx="83">
                  <c:v>-10.962545491711211</c:v>
                </c:pt>
                <c:pt idx="84">
                  <c:v>-10.937149937394265</c:v>
                </c:pt>
                <c:pt idx="85">
                  <c:v>-11.412678195541842</c:v>
                </c:pt>
                <c:pt idx="86">
                  <c:v>-11.248697408438764</c:v>
                </c:pt>
                <c:pt idx="87">
                  <c:v>-11.737771208805666</c:v>
                </c:pt>
                <c:pt idx="88">
                  <c:v>-11.437001796735144</c:v>
                </c:pt>
                <c:pt idx="89">
                  <c:v>-11.93426274441928</c:v>
                </c:pt>
                <c:pt idx="90">
                  <c:v>-11.5</c:v>
                </c:pt>
                <c:pt idx="91">
                  <c:v>-12</c:v>
                </c:pt>
                <c:pt idx="92">
                  <c:v>-11.437001796735144</c:v>
                </c:pt>
                <c:pt idx="93">
                  <c:v>-11.93426274441928</c:v>
                </c:pt>
                <c:pt idx="94">
                  <c:v>-11.248697408438764</c:v>
                </c:pt>
                <c:pt idx="95">
                  <c:v>-11.737771208805666</c:v>
                </c:pt>
                <c:pt idx="96">
                  <c:v>-10.937149937394267</c:v>
                </c:pt>
                <c:pt idx="97">
                  <c:v>-11.412678195541844</c:v>
                </c:pt>
                <c:pt idx="98">
                  <c:v>-10.505772762889913</c:v>
                </c:pt>
                <c:pt idx="99">
                  <c:v>-10.962545491711213</c:v>
                </c:pt>
                <c:pt idx="100">
                  <c:v>-9.9592921435210435</c:v>
                </c:pt>
                <c:pt idx="101">
                  <c:v>-10.392304845413264</c:v>
                </c:pt>
                <c:pt idx="102">
                  <c:v>-9.3036954353118961</c:v>
                </c:pt>
                <c:pt idx="103">
                  <c:v>-9.7082039324993712</c:v>
                </c:pt>
                <c:pt idx="104">
                  <c:v>-8.5461654929900384</c:v>
                </c:pt>
                <c:pt idx="105">
                  <c:v>-8.9177379057287354</c:v>
                </c:pt>
                <c:pt idx="106">
                  <c:v>-7.6950019731268684</c:v>
                </c:pt>
                <c:pt idx="107">
                  <c:v>-8.0295672763062971</c:v>
                </c:pt>
                <c:pt idx="108">
                  <c:v>-6.7595304013634436</c:v>
                </c:pt>
                <c:pt idx="109">
                  <c:v>-7.0534230275096803</c:v>
                </c:pt>
                <c:pt idx="110">
                  <c:v>-5.7500000000000053</c:v>
                </c:pt>
                <c:pt idx="111">
                  <c:v>-6.0000000000000053</c:v>
                </c:pt>
                <c:pt idx="112">
                  <c:v>-4.6774713953717022</c:v>
                </c:pt>
                <c:pt idx="113">
                  <c:v>-4.8808397169096018</c:v>
                </c:pt>
                <c:pt idx="114">
                  <c:v>-3.5536954353118975</c:v>
                </c:pt>
                <c:pt idx="115">
                  <c:v>-3.7082039324993712</c:v>
                </c:pt>
                <c:pt idx="116">
                  <c:v>-2.3909844444042383</c:v>
                </c:pt>
                <c:pt idx="117">
                  <c:v>-2.4949402898131186</c:v>
                </c:pt>
                <c:pt idx="118">
                  <c:v>-1.2020773275780143</c:v>
                </c:pt>
                <c:pt idx="119">
                  <c:v>-1.254341559211841</c:v>
                </c:pt>
                <c:pt idx="120">
                  <c:v>-2.817841446289826E-15</c:v>
                </c:pt>
              </c:numCache>
            </c:numRef>
          </c:xVal>
          <c:yVal>
            <c:numRef>
              <c:f>Arkusz1!$M$4:$M$124</c:f>
              <c:numCache>
                <c:formatCode>General</c:formatCode>
                <c:ptCount val="121"/>
                <c:pt idx="0">
                  <c:v>11.5</c:v>
                </c:pt>
                <c:pt idx="1">
                  <c:v>12</c:v>
                </c:pt>
                <c:pt idx="2">
                  <c:v>11.437001796735142</c:v>
                </c:pt>
                <c:pt idx="3">
                  <c:v>11.934262744419279</c:v>
                </c:pt>
                <c:pt idx="4">
                  <c:v>11.248697408438765</c:v>
                </c:pt>
                <c:pt idx="5">
                  <c:v>11.737771208805668</c:v>
                </c:pt>
                <c:pt idx="6">
                  <c:v>10.937149937394265</c:v>
                </c:pt>
                <c:pt idx="7">
                  <c:v>11.412678195541842</c:v>
                </c:pt>
                <c:pt idx="8">
                  <c:v>10.50577276288991</c:v>
                </c:pt>
                <c:pt idx="9">
                  <c:v>10.962545491711211</c:v>
                </c:pt>
                <c:pt idx="10">
                  <c:v>9.9592921435210453</c:v>
                </c:pt>
                <c:pt idx="11">
                  <c:v>10.392304845413264</c:v>
                </c:pt>
                <c:pt idx="12">
                  <c:v>9.3036954353118961</c:v>
                </c:pt>
                <c:pt idx="13">
                  <c:v>9.7082039324993694</c:v>
                </c:pt>
                <c:pt idx="14">
                  <c:v>8.546165492990033</c:v>
                </c:pt>
                <c:pt idx="15">
                  <c:v>8.9177379057287318</c:v>
                </c:pt>
                <c:pt idx="16">
                  <c:v>7.6950019731268693</c:v>
                </c:pt>
                <c:pt idx="17">
                  <c:v>8.0295672763062989</c:v>
                </c:pt>
                <c:pt idx="18">
                  <c:v>6.759530401363441</c:v>
                </c:pt>
                <c:pt idx="19">
                  <c:v>7.0534230275096776</c:v>
                </c:pt>
                <c:pt idx="20">
                  <c:v>5.7500000000000009</c:v>
                </c:pt>
                <c:pt idx="21">
                  <c:v>6.0000000000000018</c:v>
                </c:pt>
                <c:pt idx="22">
                  <c:v>4.6774713953717022</c:v>
                </c:pt>
                <c:pt idx="23">
                  <c:v>4.8808397169096027</c:v>
                </c:pt>
                <c:pt idx="24">
                  <c:v>3.5536954353118957</c:v>
                </c:pt>
                <c:pt idx="25">
                  <c:v>3.7082039324993694</c:v>
                </c:pt>
                <c:pt idx="26">
                  <c:v>2.3909844444042339</c:v>
                </c:pt>
                <c:pt idx="27">
                  <c:v>2.4949402898131137</c:v>
                </c:pt>
                <c:pt idx="28">
                  <c:v>1.2020773275780148</c:v>
                </c:pt>
                <c:pt idx="29">
                  <c:v>1.2543415592118414</c:v>
                </c:pt>
                <c:pt idx="30">
                  <c:v>7.0446036157245651E-16</c:v>
                </c:pt>
                <c:pt idx="31">
                  <c:v>7.3508907294517201E-16</c:v>
                </c:pt>
                <c:pt idx="32">
                  <c:v>-1.2020773275780159</c:v>
                </c:pt>
                <c:pt idx="33">
                  <c:v>-1.2543415592118428</c:v>
                </c:pt>
                <c:pt idx="34">
                  <c:v>-2.3909844444042325</c:v>
                </c:pt>
                <c:pt idx="35">
                  <c:v>-2.4949402898131119</c:v>
                </c:pt>
                <c:pt idx="36">
                  <c:v>-3.5536954353118944</c:v>
                </c:pt>
                <c:pt idx="37">
                  <c:v>-3.7082039324993681</c:v>
                </c:pt>
                <c:pt idx="38">
                  <c:v>-4.6774713953717031</c:v>
                </c:pt>
                <c:pt idx="39">
                  <c:v>-4.8808397169096036</c:v>
                </c:pt>
                <c:pt idx="40">
                  <c:v>-5.7499999999999973</c:v>
                </c:pt>
                <c:pt idx="41">
                  <c:v>-5.9999999999999973</c:v>
                </c:pt>
                <c:pt idx="42">
                  <c:v>-6.7595304013634401</c:v>
                </c:pt>
                <c:pt idx="43">
                  <c:v>-7.0534230275096768</c:v>
                </c:pt>
                <c:pt idx="44">
                  <c:v>-7.6950019731268693</c:v>
                </c:pt>
                <c:pt idx="45">
                  <c:v>-8.0295672763062989</c:v>
                </c:pt>
                <c:pt idx="46">
                  <c:v>-8.5461654929900313</c:v>
                </c:pt>
                <c:pt idx="47">
                  <c:v>-8.9177379057287283</c:v>
                </c:pt>
                <c:pt idx="48">
                  <c:v>-9.3036954353118944</c:v>
                </c:pt>
                <c:pt idx="49">
                  <c:v>-9.7082039324993676</c:v>
                </c:pt>
                <c:pt idx="50">
                  <c:v>-9.9592921435210453</c:v>
                </c:pt>
                <c:pt idx="51">
                  <c:v>-10.392304845413264</c:v>
                </c:pt>
                <c:pt idx="52">
                  <c:v>-10.505772762889908</c:v>
                </c:pt>
                <c:pt idx="53">
                  <c:v>-10.962545491711209</c:v>
                </c:pt>
                <c:pt idx="54">
                  <c:v>-10.937149937394265</c:v>
                </c:pt>
                <c:pt idx="55">
                  <c:v>-11.412678195541842</c:v>
                </c:pt>
                <c:pt idx="56">
                  <c:v>-11.248697408438765</c:v>
                </c:pt>
                <c:pt idx="57">
                  <c:v>-11.737771208805668</c:v>
                </c:pt>
                <c:pt idx="58">
                  <c:v>-11.437001796735142</c:v>
                </c:pt>
                <c:pt idx="59">
                  <c:v>-11.934262744419279</c:v>
                </c:pt>
                <c:pt idx="60">
                  <c:v>-11.5</c:v>
                </c:pt>
                <c:pt idx="61">
                  <c:v>-12</c:v>
                </c:pt>
                <c:pt idx="62">
                  <c:v>-11.437001796735142</c:v>
                </c:pt>
                <c:pt idx="63">
                  <c:v>-11.934262744419279</c:v>
                </c:pt>
                <c:pt idx="64">
                  <c:v>-11.248697408438764</c:v>
                </c:pt>
                <c:pt idx="65">
                  <c:v>-11.737771208805666</c:v>
                </c:pt>
                <c:pt idx="66">
                  <c:v>-10.937149937394267</c:v>
                </c:pt>
                <c:pt idx="67">
                  <c:v>-11.412678195541844</c:v>
                </c:pt>
                <c:pt idx="68">
                  <c:v>-10.50577276288991</c:v>
                </c:pt>
                <c:pt idx="69">
                  <c:v>-10.962545491711211</c:v>
                </c:pt>
                <c:pt idx="70">
                  <c:v>-9.9592921435210435</c:v>
                </c:pt>
                <c:pt idx="71">
                  <c:v>-10.392304845413264</c:v>
                </c:pt>
                <c:pt idx="72">
                  <c:v>-9.3036954353118961</c:v>
                </c:pt>
                <c:pt idx="73">
                  <c:v>-9.7082039324993712</c:v>
                </c:pt>
                <c:pt idx="74">
                  <c:v>-8.546165492990033</c:v>
                </c:pt>
                <c:pt idx="75">
                  <c:v>-8.9177379057287318</c:v>
                </c:pt>
                <c:pt idx="76">
                  <c:v>-7.6950019731268684</c:v>
                </c:pt>
                <c:pt idx="77">
                  <c:v>-8.0295672763062971</c:v>
                </c:pt>
                <c:pt idx="78">
                  <c:v>-6.7595304013634427</c:v>
                </c:pt>
                <c:pt idx="79">
                  <c:v>-7.0534230275096785</c:v>
                </c:pt>
                <c:pt idx="80">
                  <c:v>-5.7500000000000053</c:v>
                </c:pt>
                <c:pt idx="81">
                  <c:v>-6.0000000000000053</c:v>
                </c:pt>
                <c:pt idx="82">
                  <c:v>-4.6774713953717013</c:v>
                </c:pt>
                <c:pt idx="83">
                  <c:v>-4.8808397169096009</c:v>
                </c:pt>
                <c:pt idx="84">
                  <c:v>-3.553695435311897</c:v>
                </c:pt>
                <c:pt idx="85">
                  <c:v>-3.7082039324993707</c:v>
                </c:pt>
                <c:pt idx="86">
                  <c:v>-2.3909844444042374</c:v>
                </c:pt>
                <c:pt idx="87">
                  <c:v>-2.4949402898131172</c:v>
                </c:pt>
                <c:pt idx="88">
                  <c:v>-1.2020773275780137</c:v>
                </c:pt>
                <c:pt idx="89">
                  <c:v>-1.2543415592118403</c:v>
                </c:pt>
                <c:pt idx="90">
                  <c:v>-2.1133810847173695E-15</c:v>
                </c:pt>
                <c:pt idx="91">
                  <c:v>-2.205267218835516E-15</c:v>
                </c:pt>
                <c:pt idx="92">
                  <c:v>1.2020773275780092</c:v>
                </c:pt>
                <c:pt idx="93">
                  <c:v>1.2543415592118359</c:v>
                </c:pt>
                <c:pt idx="94">
                  <c:v>2.3909844444042334</c:v>
                </c:pt>
                <c:pt idx="95">
                  <c:v>2.4949402898131132</c:v>
                </c:pt>
                <c:pt idx="96">
                  <c:v>3.553695435311893</c:v>
                </c:pt>
                <c:pt idx="97">
                  <c:v>3.7082039324993668</c:v>
                </c:pt>
                <c:pt idx="98">
                  <c:v>4.6774713953716969</c:v>
                </c:pt>
                <c:pt idx="99">
                  <c:v>4.8808397169095974</c:v>
                </c:pt>
                <c:pt idx="100">
                  <c:v>5.7500000000000009</c:v>
                </c:pt>
                <c:pt idx="101">
                  <c:v>6.0000000000000018</c:v>
                </c:pt>
                <c:pt idx="102">
                  <c:v>6.7595304013634383</c:v>
                </c:pt>
                <c:pt idx="103">
                  <c:v>7.053423027509675</c:v>
                </c:pt>
                <c:pt idx="104">
                  <c:v>7.6950019731268648</c:v>
                </c:pt>
                <c:pt idx="105">
                  <c:v>8.0295672763062935</c:v>
                </c:pt>
                <c:pt idx="106">
                  <c:v>8.546165492990033</c:v>
                </c:pt>
                <c:pt idx="107">
                  <c:v>8.9177379057287318</c:v>
                </c:pt>
                <c:pt idx="108">
                  <c:v>9.3036954353118944</c:v>
                </c:pt>
                <c:pt idx="109">
                  <c:v>9.7082039324993676</c:v>
                </c:pt>
                <c:pt idx="110">
                  <c:v>9.9592921435210418</c:v>
                </c:pt>
                <c:pt idx="111">
                  <c:v>10.39230484541326</c:v>
                </c:pt>
                <c:pt idx="112">
                  <c:v>10.505772762889912</c:v>
                </c:pt>
                <c:pt idx="113">
                  <c:v>10.962545491711211</c:v>
                </c:pt>
                <c:pt idx="114">
                  <c:v>10.937149937394265</c:v>
                </c:pt>
                <c:pt idx="115">
                  <c:v>11.412678195541842</c:v>
                </c:pt>
                <c:pt idx="116">
                  <c:v>11.248697408438764</c:v>
                </c:pt>
                <c:pt idx="117">
                  <c:v>11.737771208805666</c:v>
                </c:pt>
                <c:pt idx="118">
                  <c:v>11.437001796735142</c:v>
                </c:pt>
                <c:pt idx="119">
                  <c:v>11.934262744419279</c:v>
                </c:pt>
                <c:pt idx="120">
                  <c:v>11.5</c:v>
                </c:pt>
              </c:numCache>
            </c:numRef>
          </c:yVal>
          <c:smooth val="0"/>
        </c:ser>
        <c:ser>
          <c:idx val="3"/>
          <c:order val="1"/>
          <c:tx>
            <c:v>Okrąg</c:v>
          </c:tx>
          <c:spPr>
            <a:ln w="38100"/>
          </c:spPr>
          <c:marker>
            <c:symbol val="none"/>
          </c:marker>
          <c:dPt>
            <c:idx val="2"/>
            <c:bubble3D val="0"/>
            <c:spPr>
              <a:ln w="38100">
                <a:noFill/>
              </a:ln>
            </c:spPr>
          </c:dPt>
          <c:dPt>
            <c:idx val="4"/>
            <c:bubble3D val="0"/>
            <c:spPr>
              <a:ln w="38100">
                <a:noFill/>
              </a:ln>
            </c:spPr>
          </c:dPt>
          <c:dPt>
            <c:idx val="6"/>
            <c:bubble3D val="0"/>
            <c:spPr>
              <a:ln w="38100">
                <a:noFill/>
              </a:ln>
            </c:spPr>
          </c:dPt>
          <c:dPt>
            <c:idx val="8"/>
            <c:bubble3D val="0"/>
            <c:spPr>
              <a:ln w="38100">
                <a:noFill/>
              </a:ln>
            </c:spPr>
          </c:dPt>
          <c:dPt>
            <c:idx val="10"/>
            <c:bubble3D val="0"/>
            <c:spPr>
              <a:ln w="38100">
                <a:noFill/>
              </a:ln>
            </c:spPr>
          </c:dPt>
          <c:dPt>
            <c:idx val="12"/>
            <c:bubble3D val="0"/>
            <c:spPr>
              <a:ln w="38100">
                <a:noFill/>
              </a:ln>
            </c:spPr>
          </c:dPt>
          <c:dPt>
            <c:idx val="14"/>
            <c:bubble3D val="0"/>
            <c:spPr>
              <a:ln w="38100">
                <a:noFill/>
              </a:ln>
            </c:spPr>
          </c:dPt>
          <c:dPt>
            <c:idx val="16"/>
            <c:bubble3D val="0"/>
            <c:spPr>
              <a:ln w="38100">
                <a:noFill/>
              </a:ln>
            </c:spPr>
          </c:dPt>
          <c:dPt>
            <c:idx val="18"/>
            <c:bubble3D val="0"/>
            <c:spPr>
              <a:ln w="38100">
                <a:noFill/>
              </a:ln>
            </c:spPr>
          </c:dPt>
          <c:dPt>
            <c:idx val="20"/>
            <c:bubble3D val="0"/>
            <c:spPr>
              <a:ln w="38100">
                <a:noFill/>
              </a:ln>
            </c:spPr>
          </c:dPt>
          <c:dPt>
            <c:idx val="22"/>
            <c:bubble3D val="0"/>
            <c:spPr>
              <a:ln w="38100">
                <a:noFill/>
              </a:ln>
            </c:spPr>
          </c:dPt>
          <c:xVal>
            <c:numRef>
              <c:f>Arkusz1!$D$4:$D$27</c:f>
              <c:numCache>
                <c:formatCode>General</c:formatCode>
                <c:ptCount val="24"/>
                <c:pt idx="0">
                  <c:v>4.9999999999999991</c:v>
                </c:pt>
                <c:pt idx="1">
                  <c:v>5.9999999999999991</c:v>
                </c:pt>
                <c:pt idx="2">
                  <c:v>8.6602540378443855</c:v>
                </c:pt>
                <c:pt idx="3">
                  <c:v>10.392304845413264</c:v>
                </c:pt>
                <c:pt idx="4">
                  <c:v>10</c:v>
                </c:pt>
                <c:pt idx="5">
                  <c:v>12</c:v>
                </c:pt>
                <c:pt idx="6">
                  <c:v>8.6602540378443873</c:v>
                </c:pt>
                <c:pt idx="7">
                  <c:v>10.392304845413264</c:v>
                </c:pt>
                <c:pt idx="8">
                  <c:v>4.9999999999999991</c:v>
                </c:pt>
                <c:pt idx="9">
                  <c:v>5.9999999999999991</c:v>
                </c:pt>
                <c:pt idx="10">
                  <c:v>1.22514845490862E-15</c:v>
                </c:pt>
                <c:pt idx="11">
                  <c:v>1.470178145890344E-15</c:v>
                </c:pt>
                <c:pt idx="12">
                  <c:v>-5.0000000000000009</c:v>
                </c:pt>
                <c:pt idx="13">
                  <c:v>-6.0000000000000018</c:v>
                </c:pt>
                <c:pt idx="14">
                  <c:v>-8.6602540378443837</c:v>
                </c:pt>
                <c:pt idx="15">
                  <c:v>-10.39230484541326</c:v>
                </c:pt>
                <c:pt idx="16">
                  <c:v>-10</c:v>
                </c:pt>
                <c:pt idx="17">
                  <c:v>-12</c:v>
                </c:pt>
                <c:pt idx="18">
                  <c:v>-8.6602540378443855</c:v>
                </c:pt>
                <c:pt idx="19">
                  <c:v>-10.392304845413264</c:v>
                </c:pt>
                <c:pt idx="20">
                  <c:v>-5.0000000000000044</c:v>
                </c:pt>
                <c:pt idx="21">
                  <c:v>-6.0000000000000053</c:v>
                </c:pt>
                <c:pt idx="22">
                  <c:v>-2.45029690981724E-15</c:v>
                </c:pt>
                <c:pt idx="23">
                  <c:v>-2.940356291780688E-15</c:v>
                </c:pt>
              </c:numCache>
            </c:numRef>
          </c:xVal>
          <c:yVal>
            <c:numRef>
              <c:f>Arkusz1!$E$4:$E$27</c:f>
              <c:numCache>
                <c:formatCode>General</c:formatCode>
                <c:ptCount val="24"/>
                <c:pt idx="0">
                  <c:v>8.6602540378443873</c:v>
                </c:pt>
                <c:pt idx="1">
                  <c:v>10.392304845413264</c:v>
                </c:pt>
                <c:pt idx="2">
                  <c:v>5.0000000000000009</c:v>
                </c:pt>
                <c:pt idx="3">
                  <c:v>6.0000000000000018</c:v>
                </c:pt>
                <c:pt idx="4">
                  <c:v>6.1257422745431001E-16</c:v>
                </c:pt>
                <c:pt idx="5">
                  <c:v>7.3508907294517201E-16</c:v>
                </c:pt>
                <c:pt idx="6">
                  <c:v>-4.9999999999999982</c:v>
                </c:pt>
                <c:pt idx="7">
                  <c:v>-5.9999999999999973</c:v>
                </c:pt>
                <c:pt idx="8">
                  <c:v>-8.6602540378443873</c:v>
                </c:pt>
                <c:pt idx="9">
                  <c:v>-10.392304845413264</c:v>
                </c:pt>
                <c:pt idx="10">
                  <c:v>-10</c:v>
                </c:pt>
                <c:pt idx="11">
                  <c:v>-12</c:v>
                </c:pt>
                <c:pt idx="12">
                  <c:v>-8.6602540378443855</c:v>
                </c:pt>
                <c:pt idx="13">
                  <c:v>-10.392304845413264</c:v>
                </c:pt>
                <c:pt idx="14">
                  <c:v>-5.0000000000000044</c:v>
                </c:pt>
                <c:pt idx="15">
                  <c:v>-6.0000000000000053</c:v>
                </c:pt>
                <c:pt idx="16">
                  <c:v>-1.83772268236293E-15</c:v>
                </c:pt>
                <c:pt idx="17">
                  <c:v>-2.205267218835516E-15</c:v>
                </c:pt>
                <c:pt idx="18">
                  <c:v>5.0000000000000009</c:v>
                </c:pt>
                <c:pt idx="19">
                  <c:v>6.0000000000000018</c:v>
                </c:pt>
                <c:pt idx="20">
                  <c:v>8.6602540378443837</c:v>
                </c:pt>
                <c:pt idx="21">
                  <c:v>10.39230484541326</c:v>
                </c:pt>
                <c:pt idx="22">
                  <c:v>10</c:v>
                </c:pt>
                <c:pt idx="23">
                  <c:v>12</c:v>
                </c:pt>
              </c:numCache>
            </c:numRef>
          </c:yVal>
          <c:smooth val="0"/>
        </c:ser>
        <c:ser>
          <c:idx val="4"/>
          <c:order val="2"/>
          <c:tx>
            <c:v>Kreskidlugie</c:v>
          </c:tx>
          <c:spPr>
            <a:ln w="38100"/>
          </c:spPr>
          <c:marker>
            <c:symbol val="none"/>
          </c:marker>
          <c:xVal>
            <c:numRef>
              <c:f>Arkusz1!$H$4:$H$64</c:f>
              <c:numCache>
                <c:formatCode>General</c:formatCode>
                <c:ptCount val="61"/>
                <c:pt idx="0">
                  <c:v>0</c:v>
                </c:pt>
                <c:pt idx="1">
                  <c:v>1.2543415592118417</c:v>
                </c:pt>
                <c:pt idx="2">
                  <c:v>2.4949402898131119</c:v>
                </c:pt>
                <c:pt idx="3">
                  <c:v>3.7082039324993685</c:v>
                </c:pt>
                <c:pt idx="4">
                  <c:v>4.8808397169096027</c:v>
                </c:pt>
                <c:pt idx="5">
                  <c:v>5.9999999999999991</c:v>
                </c:pt>
                <c:pt idx="6">
                  <c:v>7.0534230275096776</c:v>
                </c:pt>
                <c:pt idx="7">
                  <c:v>8.0295672763062989</c:v>
                </c:pt>
                <c:pt idx="8">
                  <c:v>8.9177379057287318</c:v>
                </c:pt>
                <c:pt idx="9">
                  <c:v>9.7082039324993694</c:v>
                </c:pt>
                <c:pt idx="10">
                  <c:v>10.392304845413264</c:v>
                </c:pt>
                <c:pt idx="11">
                  <c:v>10.962545491711211</c:v>
                </c:pt>
                <c:pt idx="12">
                  <c:v>11.412678195541842</c:v>
                </c:pt>
                <c:pt idx="13">
                  <c:v>11.737771208805666</c:v>
                </c:pt>
                <c:pt idx="14">
                  <c:v>11.934262744419279</c:v>
                </c:pt>
                <c:pt idx="15">
                  <c:v>12</c:v>
                </c:pt>
                <c:pt idx="16">
                  <c:v>11.934262744419279</c:v>
                </c:pt>
                <c:pt idx="17">
                  <c:v>11.737771208805668</c:v>
                </c:pt>
                <c:pt idx="18">
                  <c:v>11.412678195541844</c:v>
                </c:pt>
                <c:pt idx="19">
                  <c:v>10.962545491711211</c:v>
                </c:pt>
                <c:pt idx="20">
                  <c:v>10.392304845413264</c:v>
                </c:pt>
                <c:pt idx="21">
                  <c:v>9.7082039324993694</c:v>
                </c:pt>
                <c:pt idx="22">
                  <c:v>8.9177379057287318</c:v>
                </c:pt>
                <c:pt idx="23">
                  <c:v>8.0295672763063006</c:v>
                </c:pt>
                <c:pt idx="24">
                  <c:v>7.0534230275096785</c:v>
                </c:pt>
                <c:pt idx="25">
                  <c:v>5.9999999999999991</c:v>
                </c:pt>
                <c:pt idx="26">
                  <c:v>4.8808397169096054</c:v>
                </c:pt>
                <c:pt idx="27">
                  <c:v>3.7082039324993703</c:v>
                </c:pt>
                <c:pt idx="28">
                  <c:v>2.4949402898131119</c:v>
                </c:pt>
                <c:pt idx="29">
                  <c:v>1.2543415592118448</c:v>
                </c:pt>
                <c:pt idx="30">
                  <c:v>1.470178145890344E-15</c:v>
                </c:pt>
                <c:pt idx="31">
                  <c:v>-1.2543415592118419</c:v>
                </c:pt>
                <c:pt idx="32">
                  <c:v>-2.4949402898131141</c:v>
                </c:pt>
                <c:pt idx="33">
                  <c:v>-3.7082039324993676</c:v>
                </c:pt>
                <c:pt idx="34">
                  <c:v>-4.8808397169096027</c:v>
                </c:pt>
                <c:pt idx="35">
                  <c:v>-6.0000000000000018</c:v>
                </c:pt>
                <c:pt idx="36">
                  <c:v>-7.0534230275096768</c:v>
                </c:pt>
                <c:pt idx="37">
                  <c:v>-8.0295672763062989</c:v>
                </c:pt>
                <c:pt idx="38">
                  <c:v>-8.9177379057287318</c:v>
                </c:pt>
                <c:pt idx="39">
                  <c:v>-9.7082039324993676</c:v>
                </c:pt>
                <c:pt idx="40">
                  <c:v>-10.39230484541326</c:v>
                </c:pt>
                <c:pt idx="41">
                  <c:v>-10.962545491711211</c:v>
                </c:pt>
                <c:pt idx="42">
                  <c:v>-11.412678195541842</c:v>
                </c:pt>
                <c:pt idx="43">
                  <c:v>-11.737771208805666</c:v>
                </c:pt>
                <c:pt idx="44">
                  <c:v>-11.93426274441928</c:v>
                </c:pt>
                <c:pt idx="45">
                  <c:v>-12</c:v>
                </c:pt>
                <c:pt idx="46">
                  <c:v>-11.93426274441928</c:v>
                </c:pt>
                <c:pt idx="47">
                  <c:v>-11.737771208805666</c:v>
                </c:pt>
                <c:pt idx="48">
                  <c:v>-11.412678195541844</c:v>
                </c:pt>
                <c:pt idx="49">
                  <c:v>-10.962545491711213</c:v>
                </c:pt>
                <c:pt idx="50">
                  <c:v>-10.392304845413264</c:v>
                </c:pt>
                <c:pt idx="51">
                  <c:v>-9.7082039324993712</c:v>
                </c:pt>
                <c:pt idx="52">
                  <c:v>-8.9177379057287354</c:v>
                </c:pt>
                <c:pt idx="53">
                  <c:v>-8.0295672763062971</c:v>
                </c:pt>
                <c:pt idx="54">
                  <c:v>-7.0534230275096803</c:v>
                </c:pt>
                <c:pt idx="55">
                  <c:v>-6.0000000000000053</c:v>
                </c:pt>
                <c:pt idx="56">
                  <c:v>-4.8808397169096018</c:v>
                </c:pt>
                <c:pt idx="57">
                  <c:v>-3.7082039324993712</c:v>
                </c:pt>
                <c:pt idx="58">
                  <c:v>-2.4949402898131186</c:v>
                </c:pt>
                <c:pt idx="59">
                  <c:v>-1.254341559211841</c:v>
                </c:pt>
                <c:pt idx="60">
                  <c:v>-2.940356291780688E-15</c:v>
                </c:pt>
              </c:numCache>
            </c:numRef>
          </c:xVal>
          <c:yVal>
            <c:numRef>
              <c:f>Arkusz1!$I$4:$I$64</c:f>
              <c:numCache>
                <c:formatCode>General</c:formatCode>
                <c:ptCount val="61"/>
                <c:pt idx="0">
                  <c:v>12</c:v>
                </c:pt>
                <c:pt idx="1">
                  <c:v>11.934262744419279</c:v>
                </c:pt>
                <c:pt idx="2">
                  <c:v>11.737771208805668</c:v>
                </c:pt>
                <c:pt idx="3">
                  <c:v>11.412678195541842</c:v>
                </c:pt>
                <c:pt idx="4">
                  <c:v>10.962545491711211</c:v>
                </c:pt>
                <c:pt idx="5">
                  <c:v>10.392304845413264</c:v>
                </c:pt>
                <c:pt idx="6">
                  <c:v>9.7082039324993694</c:v>
                </c:pt>
                <c:pt idx="7">
                  <c:v>8.9177379057287318</c:v>
                </c:pt>
                <c:pt idx="8">
                  <c:v>8.0295672763062989</c:v>
                </c:pt>
                <c:pt idx="9">
                  <c:v>7.0534230275096776</c:v>
                </c:pt>
                <c:pt idx="10">
                  <c:v>6.0000000000000018</c:v>
                </c:pt>
                <c:pt idx="11">
                  <c:v>4.8808397169096027</c:v>
                </c:pt>
                <c:pt idx="12">
                  <c:v>3.7082039324993694</c:v>
                </c:pt>
                <c:pt idx="13">
                  <c:v>2.4949402898131137</c:v>
                </c:pt>
                <c:pt idx="14">
                  <c:v>1.2543415592118414</c:v>
                </c:pt>
                <c:pt idx="15">
                  <c:v>7.3508907294517201E-16</c:v>
                </c:pt>
                <c:pt idx="16">
                  <c:v>-1.2543415592118428</c:v>
                </c:pt>
                <c:pt idx="17">
                  <c:v>-2.4949402898131119</c:v>
                </c:pt>
                <c:pt idx="18">
                  <c:v>-3.7082039324993681</c:v>
                </c:pt>
                <c:pt idx="19">
                  <c:v>-4.8808397169096036</c:v>
                </c:pt>
                <c:pt idx="20">
                  <c:v>-5.9999999999999973</c:v>
                </c:pt>
                <c:pt idx="21">
                  <c:v>-7.0534230275096768</c:v>
                </c:pt>
                <c:pt idx="22">
                  <c:v>-8.0295672763062989</c:v>
                </c:pt>
                <c:pt idx="23">
                  <c:v>-8.9177379057287283</c:v>
                </c:pt>
                <c:pt idx="24">
                  <c:v>-9.7082039324993676</c:v>
                </c:pt>
                <c:pt idx="25">
                  <c:v>-10.392304845413264</c:v>
                </c:pt>
                <c:pt idx="26">
                  <c:v>-10.962545491711209</c:v>
                </c:pt>
                <c:pt idx="27">
                  <c:v>-11.412678195541842</c:v>
                </c:pt>
                <c:pt idx="28">
                  <c:v>-11.737771208805668</c:v>
                </c:pt>
                <c:pt idx="29">
                  <c:v>-11.934262744419279</c:v>
                </c:pt>
                <c:pt idx="30">
                  <c:v>-12</c:v>
                </c:pt>
                <c:pt idx="31">
                  <c:v>-11.934262744419279</c:v>
                </c:pt>
                <c:pt idx="32">
                  <c:v>-11.737771208805666</c:v>
                </c:pt>
                <c:pt idx="33">
                  <c:v>-11.412678195541844</c:v>
                </c:pt>
                <c:pt idx="34">
                  <c:v>-10.962545491711211</c:v>
                </c:pt>
                <c:pt idx="35">
                  <c:v>-10.392304845413264</c:v>
                </c:pt>
                <c:pt idx="36">
                  <c:v>-9.7082039324993712</c:v>
                </c:pt>
                <c:pt idx="37">
                  <c:v>-8.9177379057287318</c:v>
                </c:pt>
                <c:pt idx="38">
                  <c:v>-8.0295672763062971</c:v>
                </c:pt>
                <c:pt idx="39">
                  <c:v>-7.0534230275096785</c:v>
                </c:pt>
                <c:pt idx="40">
                  <c:v>-6.0000000000000053</c:v>
                </c:pt>
                <c:pt idx="41">
                  <c:v>-4.8808397169096009</c:v>
                </c:pt>
                <c:pt idx="42">
                  <c:v>-3.7082039324993707</c:v>
                </c:pt>
                <c:pt idx="43">
                  <c:v>-2.4949402898131172</c:v>
                </c:pt>
                <c:pt idx="44">
                  <c:v>-1.2543415592118403</c:v>
                </c:pt>
                <c:pt idx="45">
                  <c:v>-2.205267218835516E-15</c:v>
                </c:pt>
                <c:pt idx="46">
                  <c:v>1.2543415592118359</c:v>
                </c:pt>
                <c:pt idx="47">
                  <c:v>2.4949402898131132</c:v>
                </c:pt>
                <c:pt idx="48">
                  <c:v>3.7082039324993668</c:v>
                </c:pt>
                <c:pt idx="49">
                  <c:v>4.8808397169095974</c:v>
                </c:pt>
                <c:pt idx="50">
                  <c:v>6.0000000000000018</c:v>
                </c:pt>
                <c:pt idx="51">
                  <c:v>7.053423027509675</c:v>
                </c:pt>
                <c:pt idx="52">
                  <c:v>8.0295672763062935</c:v>
                </c:pt>
                <c:pt idx="53">
                  <c:v>8.9177379057287318</c:v>
                </c:pt>
                <c:pt idx="54">
                  <c:v>9.7082039324993676</c:v>
                </c:pt>
                <c:pt idx="55">
                  <c:v>10.39230484541326</c:v>
                </c:pt>
                <c:pt idx="56">
                  <c:v>10.962545491711211</c:v>
                </c:pt>
                <c:pt idx="57">
                  <c:v>11.412678195541842</c:v>
                </c:pt>
                <c:pt idx="58">
                  <c:v>11.737771208805666</c:v>
                </c:pt>
                <c:pt idx="59">
                  <c:v>11.934262744419279</c:v>
                </c:pt>
                <c:pt idx="60">
                  <c:v>12</c:v>
                </c:pt>
              </c:numCache>
            </c:numRef>
          </c:yVal>
          <c:smooth val="1"/>
        </c:ser>
        <c:ser>
          <c:idx val="0"/>
          <c:order val="3"/>
          <c:tx>
            <c:strRef>
              <c:f>Arkusz1!$B$3</c:f>
              <c:strCache>
                <c:ptCount val="1"/>
                <c:pt idx="0">
                  <c:v>y</c:v>
                </c:pt>
              </c:strCache>
            </c:strRef>
          </c:tx>
          <c:spPr>
            <a:ln w="63500">
              <a:solidFill>
                <a:schemeClr val="accent6">
                  <a:lumMod val="75000"/>
                </a:schemeClr>
              </a:solidFill>
              <a:headEnd type="none" w="med" len="med"/>
              <a:tailEnd type="triangle" w="med" len="med"/>
            </a:ln>
          </c:spPr>
          <c:marker>
            <c:symbol val="none"/>
          </c:marker>
          <c:xVal>
            <c:numRef>
              <c:f>Arkusz1!$A$4:$A$5</c:f>
              <c:numCache>
                <c:formatCode>General</c:formatCode>
                <c:ptCount val="2"/>
                <c:pt idx="0">
                  <c:v>0</c:v>
                </c:pt>
                <c:pt idx="1">
                  <c:v>-11.412678195541844</c:v>
                </c:pt>
              </c:numCache>
            </c:numRef>
          </c:xVal>
          <c:yVal>
            <c:numRef>
              <c:f>Arkusz1!$B$4:$B$5</c:f>
              <c:numCache>
                <c:formatCode>General</c:formatCode>
                <c:ptCount val="2"/>
                <c:pt idx="0">
                  <c:v>0</c:v>
                </c:pt>
                <c:pt idx="1">
                  <c:v>3.7082039324993668</c:v>
                </c:pt>
              </c:numCache>
            </c:numRef>
          </c:yVal>
          <c:smooth val="0"/>
        </c:ser>
        <c:ser>
          <c:idx val="1"/>
          <c:order val="4"/>
          <c:tx>
            <c:strRef>
              <c:f>Arkusz1!$B$7</c:f>
              <c:strCache>
                <c:ptCount val="1"/>
                <c:pt idx="0">
                  <c:v>y</c:v>
                </c:pt>
              </c:strCache>
            </c:strRef>
          </c:tx>
          <c:spPr>
            <a:ln w="69850">
              <a:solidFill>
                <a:srgbClr val="00B0F0"/>
              </a:solidFill>
              <a:headEnd type="none" w="med" len="med"/>
              <a:tailEnd type="triangle" w="med" len="med"/>
            </a:ln>
          </c:spPr>
          <c:marker>
            <c:symbol val="none"/>
          </c:marker>
          <c:xVal>
            <c:numRef>
              <c:f>Arkusz1!$A$8:$A$9</c:f>
              <c:numCache>
                <c:formatCode>General</c:formatCode>
                <c:ptCount val="2"/>
                <c:pt idx="0">
                  <c:v>0</c:v>
                </c:pt>
                <c:pt idx="1">
                  <c:v>9.5105651629515346</c:v>
                </c:pt>
              </c:numCache>
            </c:numRef>
          </c:xVal>
          <c:yVal>
            <c:numRef>
              <c:f>Arkusz1!$B$8:$B$9</c:f>
              <c:numCache>
                <c:formatCode>General</c:formatCode>
                <c:ptCount val="2"/>
                <c:pt idx="0">
                  <c:v>0</c:v>
                </c:pt>
                <c:pt idx="1">
                  <c:v>3.0901699437494745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Arkusz1!$B$11</c:f>
              <c:strCache>
                <c:ptCount val="1"/>
                <c:pt idx="0">
                  <c:v>y</c:v>
                </c:pt>
              </c:strCache>
            </c:strRef>
          </c:tx>
          <c:spPr>
            <a:ln w="76200">
              <a:solidFill>
                <a:schemeClr val="accent1"/>
              </a:solidFill>
              <a:headEnd type="oval" w="med" len="med"/>
              <a:tailEnd type="triangle" w="med" len="med"/>
            </a:ln>
          </c:spPr>
          <c:marker>
            <c:symbol val="none"/>
          </c:marker>
          <c:xVal>
            <c:numRef>
              <c:f>Arkusz1!$A$12:$A$13</c:f>
              <c:numCache>
                <c:formatCode>General</c:formatCode>
                <c:ptCount val="2"/>
                <c:pt idx="0">
                  <c:v>0</c:v>
                </c:pt>
                <c:pt idx="1">
                  <c:v>6.9282032302755097</c:v>
                </c:pt>
              </c:numCache>
            </c:numRef>
          </c:xVal>
          <c:yVal>
            <c:numRef>
              <c:f>Arkusz1!$B$12:$B$13</c:f>
              <c:numCache>
                <c:formatCode>General</c:formatCode>
                <c:ptCount val="2"/>
                <c:pt idx="0">
                  <c:v>0</c:v>
                </c:pt>
                <c:pt idx="1">
                  <c:v>-3.9999999999999982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77792"/>
        <c:axId val="73980096"/>
      </c:scatterChart>
      <c:valAx>
        <c:axId val="73977792"/>
        <c:scaling>
          <c:orientation val="minMax"/>
          <c:max val="12"/>
          <c:min val="-12"/>
        </c:scaling>
        <c:delete val="1"/>
        <c:axPos val="b"/>
        <c:numFmt formatCode="General" sourceLinked="1"/>
        <c:majorTickMark val="out"/>
        <c:minorTickMark val="none"/>
        <c:tickLblPos val="nextTo"/>
        <c:crossAx val="73980096"/>
        <c:crosses val="autoZero"/>
        <c:crossBetween val="midCat"/>
      </c:valAx>
      <c:valAx>
        <c:axId val="73980096"/>
        <c:scaling>
          <c:orientation val="minMax"/>
          <c:max val="12"/>
          <c:min val="-12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73977792"/>
        <c:crosses val="autoZero"/>
        <c:crossBetween val="midCat"/>
        <c:majorUnit val="12"/>
        <c:minorUnit val="0.2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258535</xdr:colOff>
      <xdr:row>0</xdr:row>
      <xdr:rowOff>81643</xdr:rowOff>
    </xdr:from>
    <xdr:to>
      <xdr:col>12</xdr:col>
      <xdr:colOff>294254</xdr:colOff>
      <xdr:row>22</xdr:row>
      <xdr:rowOff>176893</xdr:rowOff>
    </xdr:to>
    <xdr:grpSp>
      <xdr:nvGrpSpPr>
        <xdr:cNvPr id="20" name="Grupa 19"/>
        <xdr:cNvGrpSpPr/>
      </xdr:nvGrpSpPr>
      <xdr:grpSpPr>
        <a:xfrm>
          <a:off x="258535" y="81643"/>
          <a:ext cx="7383576" cy="6572250"/>
          <a:chOff x="2776537" y="309562"/>
          <a:chExt cx="6727032" cy="5676901"/>
        </a:xfrm>
      </xdr:grpSpPr>
      <xdr:grpSp>
        <xdr:nvGrpSpPr>
          <xdr:cNvPr id="19" name="Grupa 18"/>
          <xdr:cNvGrpSpPr/>
        </xdr:nvGrpSpPr>
        <xdr:grpSpPr>
          <a:xfrm>
            <a:off x="3607595" y="1131094"/>
            <a:ext cx="4595809" cy="4179093"/>
            <a:chOff x="3607595" y="1131094"/>
            <a:chExt cx="4595809" cy="4179093"/>
          </a:xfrm>
        </xdr:grpSpPr>
        <xdr:sp macro="" textlink="">
          <xdr:nvSpPr>
            <xdr:cNvPr id="3" name="pole tekstowe 1"/>
            <xdr:cNvSpPr txBox="1"/>
          </xdr:nvSpPr>
          <xdr:spPr>
            <a:xfrm>
              <a:off x="7691436" y="2988469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3</a:t>
              </a:r>
            </a:p>
          </xdr:txBody>
        </xdr:sp>
        <xdr:sp macro="" textlink="">
          <xdr:nvSpPr>
            <xdr:cNvPr id="4" name="pole tekstowe 1"/>
            <xdr:cNvSpPr txBox="1"/>
          </xdr:nvSpPr>
          <xdr:spPr>
            <a:xfrm>
              <a:off x="6655593" y="4619624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5</a:t>
              </a:r>
            </a:p>
          </xdr:txBody>
        </xdr:sp>
        <xdr:sp macro="" textlink="">
          <xdr:nvSpPr>
            <xdr:cNvPr id="5" name="pole tekstowe 1"/>
            <xdr:cNvSpPr txBox="1"/>
          </xdr:nvSpPr>
          <xdr:spPr>
            <a:xfrm>
              <a:off x="3869532" y="2047874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10</a:t>
              </a:r>
            </a:p>
          </xdr:txBody>
        </xdr:sp>
        <xdr:sp macro="" textlink="">
          <xdr:nvSpPr>
            <xdr:cNvPr id="6" name="pole tekstowe 1"/>
            <xdr:cNvSpPr txBox="1"/>
          </xdr:nvSpPr>
          <xdr:spPr>
            <a:xfrm>
              <a:off x="6667501" y="1285874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1</a:t>
              </a:r>
            </a:p>
          </xdr:txBody>
        </xdr:sp>
        <xdr:sp macro="" textlink="">
          <xdr:nvSpPr>
            <xdr:cNvPr id="7" name="pole tekstowe 1"/>
            <xdr:cNvSpPr txBox="1"/>
          </xdr:nvSpPr>
          <xdr:spPr>
            <a:xfrm>
              <a:off x="4631532" y="1309687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11</a:t>
              </a:r>
            </a:p>
          </xdr:txBody>
        </xdr:sp>
        <xdr:sp macro="" textlink="">
          <xdr:nvSpPr>
            <xdr:cNvPr id="8" name="pole tekstowe 1"/>
            <xdr:cNvSpPr txBox="1"/>
          </xdr:nvSpPr>
          <xdr:spPr>
            <a:xfrm>
              <a:off x="5667375" y="4833938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6</a:t>
              </a:r>
            </a:p>
          </xdr:txBody>
        </xdr:sp>
        <xdr:sp macro="" textlink="">
          <xdr:nvSpPr>
            <xdr:cNvPr id="9" name="pole tekstowe 1"/>
            <xdr:cNvSpPr txBox="1"/>
          </xdr:nvSpPr>
          <xdr:spPr>
            <a:xfrm>
              <a:off x="5584032" y="1131094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12</a:t>
              </a:r>
            </a:p>
          </xdr:txBody>
        </xdr:sp>
        <xdr:sp macro="" textlink="">
          <xdr:nvSpPr>
            <xdr:cNvPr id="10" name="pole tekstowe 1"/>
            <xdr:cNvSpPr txBox="1"/>
          </xdr:nvSpPr>
          <xdr:spPr>
            <a:xfrm>
              <a:off x="7417594" y="2059781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2</a:t>
              </a:r>
            </a:p>
          </xdr:txBody>
        </xdr:sp>
        <xdr:sp macro="" textlink="">
          <xdr:nvSpPr>
            <xdr:cNvPr id="11" name="pole tekstowe 1"/>
            <xdr:cNvSpPr txBox="1"/>
          </xdr:nvSpPr>
          <xdr:spPr>
            <a:xfrm>
              <a:off x="7429500" y="3905250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4</a:t>
              </a:r>
            </a:p>
          </xdr:txBody>
        </xdr:sp>
        <xdr:sp macro="" textlink="">
          <xdr:nvSpPr>
            <xdr:cNvPr id="12" name="pole tekstowe 1"/>
            <xdr:cNvSpPr txBox="1"/>
          </xdr:nvSpPr>
          <xdr:spPr>
            <a:xfrm>
              <a:off x="4655344" y="4643438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7</a:t>
              </a:r>
            </a:p>
          </xdr:txBody>
        </xdr:sp>
        <xdr:sp macro="" textlink="">
          <xdr:nvSpPr>
            <xdr:cNvPr id="13" name="pole tekstowe 1"/>
            <xdr:cNvSpPr txBox="1"/>
          </xdr:nvSpPr>
          <xdr:spPr>
            <a:xfrm>
              <a:off x="3881438" y="3952875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8</a:t>
              </a:r>
            </a:p>
          </xdr:txBody>
        </xdr:sp>
        <xdr:sp macro="" textlink="">
          <xdr:nvSpPr>
            <xdr:cNvPr id="14" name="pole tekstowe 1"/>
            <xdr:cNvSpPr txBox="1"/>
          </xdr:nvSpPr>
          <xdr:spPr>
            <a:xfrm>
              <a:off x="3607595" y="2964656"/>
              <a:ext cx="511968" cy="476249"/>
            </a:xfrm>
            <a:prstGeom prst="rect">
              <a:avLst/>
            </a:prstGeom>
          </xdr:spPr>
          <xdr:txBody>
            <a:bodyPr wrap="square" rtlCol="0"/>
            <a:lstStyle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l-PL" sz="2400" b="1">
                  <a:solidFill>
                    <a:srgbClr val="7030A0"/>
                  </a:solidFill>
                </a:rPr>
                <a:t>9</a:t>
              </a:r>
            </a:p>
          </xdr:txBody>
        </xdr:sp>
      </xdr:grpSp>
      <xdr:graphicFrame macro="">
        <xdr:nvGraphicFramePr>
          <xdr:cNvPr id="2" name="Wykres 1"/>
          <xdr:cNvGraphicFramePr>
            <a:graphicFrameLocks/>
          </xdr:cNvGraphicFramePr>
        </xdr:nvGraphicFramePr>
        <xdr:xfrm>
          <a:off x="2776537" y="309562"/>
          <a:ext cx="6727032" cy="56769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15</xdr:row>
          <xdr:rowOff>28575</xdr:rowOff>
        </xdr:from>
        <xdr:to>
          <xdr:col>14</xdr:col>
          <xdr:colOff>276225</xdr:colOff>
          <xdr:row>18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2200" b="0" i="0" u="none" strike="noStrike" baseline="0">
                  <a:solidFill>
                    <a:srgbClr val="000000"/>
                  </a:solidFill>
                  <a:latin typeface="Calibri"/>
                </a:rPr>
                <a:t>Zegar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0.58808</cdr:x>
      <cdr:y>0.17673</cdr:y>
    </cdr:from>
    <cdr:to>
      <cdr:x>0.64035</cdr:x>
      <cdr:y>0.25168</cdr:y>
    </cdr:to>
    <cdr:sp macro="" textlink="">
      <cdr:nvSpPr>
        <cdr:cNvPr id="5" name="pole tekstowe 1"/>
        <cdr:cNvSpPr txBox="1"/>
      </cdr:nvSpPr>
      <cdr:spPr>
        <a:xfrm xmlns:a="http://schemas.openxmlformats.org/drawingml/2006/main">
          <a:off x="3956048" y="1003299"/>
          <a:ext cx="351631" cy="4254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pl-PL" sz="2400" b="1">
            <a:solidFill>
              <a:srgbClr val="7030A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M11:R18"/>
  <sheetViews>
    <sheetView showGridLines="0" tabSelected="1" zoomScale="70" zoomScaleNormal="70" workbookViewId="0">
      <selection activeCell="V14" sqref="V14"/>
    </sheetView>
  </sheetViews>
  <sheetFormatPr defaultRowHeight="15" x14ac:dyDescent="0.25"/>
  <cols>
    <col min="13" max="18" width="15.28515625" customWidth="1"/>
  </cols>
  <sheetData>
    <row r="11" spans="13:18" ht="48" customHeight="1" x14ac:dyDescent="0.25">
      <c r="M11">
        <f ca="1">Arkusz1!B75</f>
        <v>0</v>
      </c>
      <c r="N11">
        <f ca="1">Arkusz1!C75</f>
        <v>0</v>
      </c>
      <c r="O11">
        <f ca="1">Arkusz1!D75</f>
        <v>0</v>
      </c>
      <c r="P11">
        <f ca="1">Arkusz1!E75</f>
        <v>0</v>
      </c>
      <c r="Q11">
        <f ca="1">Arkusz1!F75</f>
        <v>0</v>
      </c>
      <c r="R11">
        <f ca="1">Arkusz1!G75</f>
        <v>1</v>
      </c>
    </row>
    <row r="12" spans="13:18" ht="48" customHeight="1" x14ac:dyDescent="0.25">
      <c r="M12">
        <f ca="1">Arkusz1!B73</f>
        <v>0</v>
      </c>
      <c r="N12">
        <f ca="1">Arkusz1!C73</f>
        <v>1</v>
      </c>
      <c r="O12">
        <f ca="1">Arkusz1!D73</f>
        <v>0</v>
      </c>
      <c r="P12">
        <f ca="1">Arkusz1!E73</f>
        <v>0</v>
      </c>
      <c r="Q12">
        <f ca="1">Arkusz1!F73</f>
        <v>1</v>
      </c>
      <c r="R12">
        <f ca="1">Arkusz1!G73</f>
        <v>0</v>
      </c>
    </row>
    <row r="13" spans="13:18" ht="48" customHeight="1" x14ac:dyDescent="0.25">
      <c r="M13">
        <f ca="1">Arkusz1!B71</f>
        <v>0</v>
      </c>
      <c r="N13">
        <f ca="1">Arkusz1!C71</f>
        <v>0</v>
      </c>
      <c r="O13">
        <f ca="1">Arkusz1!D71</f>
        <v>0</v>
      </c>
      <c r="P13">
        <f ca="1">Arkusz1!E71</f>
        <v>1</v>
      </c>
      <c r="Q13">
        <f ca="1">Arkusz1!F71</f>
        <v>0</v>
      </c>
      <c r="R13">
        <f ca="1">Arkusz1!G71</f>
        <v>0</v>
      </c>
    </row>
    <row r="14" spans="13:18" ht="48" customHeight="1" x14ac:dyDescent="0.25">
      <c r="M14">
        <f ca="1">Arkusz1!B69</f>
        <v>0</v>
      </c>
      <c r="N14">
        <f ca="1">Arkusz1!C69</f>
        <v>0</v>
      </c>
      <c r="O14">
        <f ca="1">Arkusz1!D69</f>
        <v>1</v>
      </c>
      <c r="P14">
        <f ca="1">Arkusz1!E69</f>
        <v>0</v>
      </c>
      <c r="Q14">
        <f ca="1">Arkusz1!F69</f>
        <v>0</v>
      </c>
      <c r="R14">
        <f ca="1">Arkusz1!G69</f>
        <v>0</v>
      </c>
    </row>
    <row r="15" spans="13:18" ht="26.25" x14ac:dyDescent="0.4">
      <c r="P15" s="5"/>
      <c r="Q15" s="5"/>
      <c r="R15" s="5"/>
    </row>
    <row r="16" spans="13:18" ht="26.25" x14ac:dyDescent="0.4">
      <c r="P16" s="5" t="s">
        <v>5</v>
      </c>
      <c r="Q16" s="5" t="s">
        <v>6</v>
      </c>
      <c r="R16" s="5" t="s">
        <v>7</v>
      </c>
    </row>
    <row r="17" spans="16:18" ht="26.25" x14ac:dyDescent="0.4">
      <c r="P17" s="5">
        <v>4</v>
      </c>
      <c r="Q17" s="5">
        <v>12</v>
      </c>
      <c r="R17" s="5">
        <v>30</v>
      </c>
    </row>
    <row r="18" spans="16:18" ht="26.25" x14ac:dyDescent="0.4">
      <c r="P18" s="5"/>
      <c r="Q18" s="6">
        <f>TIMEVALUE(CONCATENATE(P17,":",Q17,":",R17))</f>
        <v>0.17534722222222221</v>
      </c>
      <c r="R18" s="5"/>
    </row>
  </sheetData>
  <conditionalFormatting sqref="M11:R14">
    <cfRule type="cellIs" dxfId="3" priority="1" operator="equal">
      <formula>0</formula>
    </cfRule>
    <cfRule type="cellIs" dxfId="2" priority="2" operator="equal">
      <formula>1</formula>
    </cfRule>
    <cfRule type="cellIs" dxfId="1" priority="3" operator="equal">
      <formula>0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lock">
                <anchor moveWithCells="1" sizeWithCells="1">
                  <from>
                    <xdr:col>12</xdr:col>
                    <xdr:colOff>28575</xdr:colOff>
                    <xdr:row>15</xdr:row>
                    <xdr:rowOff>28575</xdr:rowOff>
                  </from>
                  <to>
                    <xdr:col>14</xdr:col>
                    <xdr:colOff>276225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Y124"/>
  <sheetViews>
    <sheetView zoomScaleNormal="100" workbookViewId="0">
      <selection activeCell="A4" sqref="A4"/>
    </sheetView>
  </sheetViews>
  <sheetFormatPr defaultRowHeight="15" x14ac:dyDescent="0.25"/>
  <cols>
    <col min="1" max="1" width="15.5703125" bestFit="1" customWidth="1"/>
    <col min="2" max="2" width="13" bestFit="1" customWidth="1"/>
    <col min="4" max="4" width="18.42578125" customWidth="1"/>
    <col min="5" max="5" width="16.7109375" bestFit="1" customWidth="1"/>
    <col min="8" max="8" width="17" customWidth="1"/>
  </cols>
  <sheetData>
    <row r="1" spans="1:25" x14ac:dyDescent="0.25">
      <c r="A1" s="2" t="s">
        <v>2</v>
      </c>
      <c r="B1" s="2" t="s">
        <v>3</v>
      </c>
      <c r="C1" s="2" t="s">
        <v>4</v>
      </c>
      <c r="D1" s="4">
        <f ca="1">NOW()</f>
        <v>42739.175552430555</v>
      </c>
      <c r="E1" s="3">
        <f ca="1">NOW()</f>
        <v>42739.175552430555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1"/>
      <c r="X1" s="1"/>
      <c r="Y1" s="1"/>
    </row>
    <row r="2" spans="1:25" x14ac:dyDescent="0.25">
      <c r="A2" s="2">
        <f ca="1">IF(HOUR(E1)&gt;12,HOUR(E1)-12,HOUR(E1))</f>
        <v>4</v>
      </c>
      <c r="B2" s="2">
        <f ca="1">MINUTE(E1)</f>
        <v>12</v>
      </c>
      <c r="C2" s="2">
        <f ca="1">SECOND(E1)</f>
        <v>48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1"/>
      <c r="X2" s="1"/>
      <c r="Y2" s="1"/>
    </row>
    <row r="3" spans="1:25" x14ac:dyDescent="0.25">
      <c r="A3" s="2" t="s">
        <v>0</v>
      </c>
      <c r="B3" s="2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1"/>
      <c r="X3" s="1"/>
      <c r="Y3" s="1"/>
    </row>
    <row r="4" spans="1:25" x14ac:dyDescent="0.25">
      <c r="A4" s="2">
        <v>0</v>
      </c>
      <c r="B4" s="2">
        <v>0</v>
      </c>
      <c r="C4" s="2"/>
      <c r="D4" s="2">
        <f>SIN(RADIANS(F4*30))*10</f>
        <v>4.9999999999999991</v>
      </c>
      <c r="E4" s="2">
        <f>COS(RADIANS(F4*30))*10</f>
        <v>8.6602540378443873</v>
      </c>
      <c r="F4" s="2">
        <v>1</v>
      </c>
      <c r="G4" s="2"/>
      <c r="H4" s="2">
        <f>SIN(RADIANS(J4*6))*12</f>
        <v>0</v>
      </c>
      <c r="I4" s="2">
        <f>COS(RADIANS(J4*6))*12</f>
        <v>12</v>
      </c>
      <c r="J4" s="2">
        <v>0</v>
      </c>
      <c r="K4" s="2"/>
      <c r="L4" s="2">
        <f>SIN(RADIANS(N4*6))*11.5</f>
        <v>0</v>
      </c>
      <c r="M4" s="2">
        <f>COS(RADIANS(N4*6))*11.5</f>
        <v>11.5</v>
      </c>
      <c r="N4" s="2">
        <v>0</v>
      </c>
      <c r="O4" s="2"/>
      <c r="P4" s="2"/>
      <c r="Q4" s="2"/>
      <c r="R4" s="2"/>
      <c r="W4" s="1"/>
      <c r="X4" s="1"/>
      <c r="Y4" s="1"/>
    </row>
    <row r="5" spans="1:25" x14ac:dyDescent="0.25">
      <c r="A5" s="2">
        <f ca="1">SIN(RADIANS($C$2*6))*12</f>
        <v>-11.412678195541844</v>
      </c>
      <c r="B5" s="2">
        <f ca="1">COS(RADIANS($C$2*6))*12</f>
        <v>3.7082039324993668</v>
      </c>
      <c r="C5" s="2"/>
      <c r="D5" s="2">
        <f>SIN(RADIANS(F4*30))*12</f>
        <v>5.9999999999999991</v>
      </c>
      <c r="E5" s="2">
        <f>COS(RADIANS(F4*30))*12</f>
        <v>10.392304845413264</v>
      </c>
      <c r="F5" s="2"/>
      <c r="G5" s="2"/>
      <c r="H5" s="2">
        <f t="shared" ref="H5:H64" si="0">SIN(RADIANS(J5*6))*12</f>
        <v>1.2543415592118417</v>
      </c>
      <c r="I5" s="2">
        <f t="shared" ref="I5:I64" si="1">COS(RADIANS(J5*6))*12</f>
        <v>11.934262744419279</v>
      </c>
      <c r="J5" s="2">
        <v>1</v>
      </c>
      <c r="K5" s="2"/>
      <c r="L5" s="2">
        <f>SIN(RADIANS(N4*6))*12</f>
        <v>0</v>
      </c>
      <c r="M5" s="2">
        <f>COS(RADIANS(N4*6))*12</f>
        <v>12</v>
      </c>
      <c r="N5" s="2">
        <v>0.5</v>
      </c>
      <c r="O5" s="2"/>
      <c r="P5" s="2"/>
      <c r="Q5" s="2"/>
      <c r="R5" s="2"/>
      <c r="W5" s="1"/>
      <c r="X5" s="1"/>
      <c r="Y5" s="1"/>
    </row>
    <row r="6" spans="1:25" x14ac:dyDescent="0.25">
      <c r="A6" s="2"/>
      <c r="B6" s="2"/>
      <c r="C6" s="2"/>
      <c r="D6" s="2">
        <f t="shared" ref="D6" si="2">SIN(RADIANS(F6*30))*10</f>
        <v>8.6602540378443855</v>
      </c>
      <c r="E6" s="2">
        <f t="shared" ref="E6" si="3">COS(RADIANS(F6*30))*10</f>
        <v>5.0000000000000009</v>
      </c>
      <c r="F6" s="2">
        <v>2</v>
      </c>
      <c r="G6" s="2"/>
      <c r="H6" s="2">
        <f t="shared" si="0"/>
        <v>2.4949402898131119</v>
      </c>
      <c r="I6" s="2">
        <f t="shared" si="1"/>
        <v>11.737771208805668</v>
      </c>
      <c r="J6" s="2">
        <v>2</v>
      </c>
      <c r="K6" s="2"/>
      <c r="L6" s="2">
        <f t="shared" ref="L6" si="4">SIN(RADIANS(N6*6))*11.5</f>
        <v>1.202077327578015</v>
      </c>
      <c r="M6" s="2">
        <f t="shared" ref="M6" si="5">COS(RADIANS(N6*6))*11.5</f>
        <v>11.437001796735142</v>
      </c>
      <c r="N6" s="2">
        <v>1</v>
      </c>
      <c r="O6" s="2"/>
      <c r="P6" s="2"/>
      <c r="Q6" s="2"/>
      <c r="R6" s="2"/>
      <c r="W6" s="1"/>
      <c r="X6" s="1"/>
      <c r="Y6" s="1"/>
    </row>
    <row r="7" spans="1:25" x14ac:dyDescent="0.25">
      <c r="A7" s="2" t="s">
        <v>0</v>
      </c>
      <c r="B7" s="2" t="s">
        <v>1</v>
      </c>
      <c r="C7" s="2"/>
      <c r="D7" s="2">
        <f t="shared" ref="D7" si="6">SIN(RADIANS(F6*30))*12</f>
        <v>10.392304845413264</v>
      </c>
      <c r="E7" s="2">
        <f t="shared" ref="E7" si="7">COS(RADIANS(F6*30))*12</f>
        <v>6.0000000000000018</v>
      </c>
      <c r="F7" s="2"/>
      <c r="G7" s="2"/>
      <c r="H7" s="2">
        <f t="shared" si="0"/>
        <v>3.7082039324993685</v>
      </c>
      <c r="I7" s="2">
        <f t="shared" si="1"/>
        <v>11.412678195541842</v>
      </c>
      <c r="J7" s="2">
        <v>3</v>
      </c>
      <c r="K7" s="2"/>
      <c r="L7" s="2">
        <f t="shared" ref="L7" si="8">SIN(RADIANS(N6*6))*12</f>
        <v>1.2543415592118417</v>
      </c>
      <c r="M7" s="2">
        <f t="shared" ref="M7" si="9">COS(RADIANS(N6*6))*12</f>
        <v>11.934262744419279</v>
      </c>
      <c r="N7" s="2">
        <v>1.5</v>
      </c>
      <c r="O7" s="2"/>
      <c r="P7" s="2"/>
      <c r="Q7" s="2"/>
      <c r="R7" s="2"/>
      <c r="S7" s="2"/>
      <c r="T7" s="2"/>
      <c r="U7" s="2"/>
      <c r="V7" s="2"/>
      <c r="W7" s="1"/>
      <c r="X7" s="1"/>
      <c r="Y7" s="1"/>
    </row>
    <row r="8" spans="1:25" x14ac:dyDescent="0.25">
      <c r="A8" s="2">
        <v>0</v>
      </c>
      <c r="B8" s="2">
        <v>0</v>
      </c>
      <c r="C8" s="2"/>
      <c r="D8" s="2">
        <f t="shared" ref="D8" si="10">SIN(RADIANS(F8*30))*10</f>
        <v>10</v>
      </c>
      <c r="E8" s="2">
        <f t="shared" ref="E8" si="11">COS(RADIANS(F8*30))*10</f>
        <v>6.1257422745431001E-16</v>
      </c>
      <c r="F8" s="2">
        <v>3</v>
      </c>
      <c r="G8" s="2"/>
      <c r="H8" s="2">
        <f t="shared" si="0"/>
        <v>4.8808397169096027</v>
      </c>
      <c r="I8" s="2">
        <f t="shared" si="1"/>
        <v>10.962545491711211</v>
      </c>
      <c r="J8" s="2">
        <v>4</v>
      </c>
      <c r="K8" s="2"/>
      <c r="L8" s="2">
        <f t="shared" ref="L8" si="12">SIN(RADIANS(N8*6))*11.5</f>
        <v>2.3909844444042325</v>
      </c>
      <c r="M8" s="2">
        <f t="shared" ref="M8" si="13">COS(RADIANS(N8*6))*11.5</f>
        <v>11.248697408438765</v>
      </c>
      <c r="N8" s="2">
        <v>2</v>
      </c>
      <c r="O8" s="2"/>
      <c r="P8" s="2"/>
      <c r="Q8" s="2"/>
      <c r="R8" s="2"/>
      <c r="S8" s="2"/>
      <c r="T8" s="2"/>
      <c r="U8" s="2"/>
      <c r="V8" s="2"/>
      <c r="W8" s="1"/>
      <c r="X8" s="1"/>
      <c r="Y8" s="1"/>
    </row>
    <row r="9" spans="1:25" x14ac:dyDescent="0.25">
      <c r="A9" s="2">
        <f ca="1">SIN(RADIANS(B2*6))*10</f>
        <v>9.5105651629515346</v>
      </c>
      <c r="B9" s="2">
        <f ca="1">COS(RADIANS(B2*6))*10</f>
        <v>3.0901699437494745</v>
      </c>
      <c r="C9" s="2"/>
      <c r="D9" s="2">
        <f t="shared" ref="D9" si="14">SIN(RADIANS(F8*30))*12</f>
        <v>12</v>
      </c>
      <c r="E9" s="2">
        <f t="shared" ref="E9" si="15">COS(RADIANS(F8*30))*12</f>
        <v>7.3508907294517201E-16</v>
      </c>
      <c r="F9" s="2"/>
      <c r="G9" s="2"/>
      <c r="H9" s="2">
        <f t="shared" si="0"/>
        <v>5.9999999999999991</v>
      </c>
      <c r="I9" s="2">
        <f t="shared" si="1"/>
        <v>10.392304845413264</v>
      </c>
      <c r="J9" s="2">
        <v>5</v>
      </c>
      <c r="K9" s="2"/>
      <c r="L9" s="2">
        <f t="shared" ref="L9" si="16">SIN(RADIANS(N8*6))*12</f>
        <v>2.4949402898131119</v>
      </c>
      <c r="M9" s="2">
        <f t="shared" ref="M9" si="17">COS(RADIANS(N8*6))*12</f>
        <v>11.737771208805668</v>
      </c>
      <c r="N9" s="2">
        <v>2.5</v>
      </c>
      <c r="O9" s="2"/>
      <c r="P9" s="2"/>
      <c r="Q9" s="2"/>
      <c r="R9" s="2"/>
      <c r="S9" s="2"/>
      <c r="T9" s="2"/>
      <c r="U9" s="2"/>
      <c r="V9" s="2"/>
      <c r="W9" s="1"/>
      <c r="X9" s="1"/>
      <c r="Y9" s="1"/>
    </row>
    <row r="10" spans="1:25" x14ac:dyDescent="0.25">
      <c r="A10" s="2"/>
      <c r="B10" s="2"/>
      <c r="C10" s="2"/>
      <c r="D10" s="2">
        <f t="shared" ref="D10" si="18">SIN(RADIANS(F10*30))*10</f>
        <v>8.6602540378443873</v>
      </c>
      <c r="E10" s="2">
        <f t="shared" ref="E10" si="19">COS(RADIANS(F10*30))*10</f>
        <v>-4.9999999999999982</v>
      </c>
      <c r="F10" s="2">
        <v>4</v>
      </c>
      <c r="G10" s="2"/>
      <c r="H10" s="2">
        <f t="shared" si="0"/>
        <v>7.0534230275096776</v>
      </c>
      <c r="I10" s="2">
        <f t="shared" si="1"/>
        <v>9.7082039324993694</v>
      </c>
      <c r="J10" s="2">
        <v>6</v>
      </c>
      <c r="K10" s="2"/>
      <c r="L10" s="2">
        <f t="shared" ref="L10" si="20">SIN(RADIANS(N10*6))*11.5</f>
        <v>3.5536954353118952</v>
      </c>
      <c r="M10" s="2">
        <f t="shared" ref="M10" si="21">COS(RADIANS(N10*6))*11.5</f>
        <v>10.937149937394265</v>
      </c>
      <c r="N10" s="2">
        <v>3</v>
      </c>
      <c r="O10" s="2"/>
      <c r="P10" s="2"/>
      <c r="Q10" s="2"/>
      <c r="R10" s="2"/>
      <c r="S10" s="2"/>
      <c r="T10" s="2"/>
      <c r="U10" s="2"/>
      <c r="V10" s="2"/>
      <c r="W10" s="1"/>
      <c r="X10" s="1"/>
      <c r="Y10" s="1"/>
    </row>
    <row r="11" spans="1:25" x14ac:dyDescent="0.25">
      <c r="A11" s="2" t="s">
        <v>0</v>
      </c>
      <c r="B11" s="2" t="s">
        <v>1</v>
      </c>
      <c r="C11" s="2"/>
      <c r="D11" s="2">
        <f t="shared" ref="D11" si="22">SIN(RADIANS(F10*30))*12</f>
        <v>10.392304845413264</v>
      </c>
      <c r="E11" s="2">
        <f t="shared" ref="E11" si="23">COS(RADIANS(F10*30))*12</f>
        <v>-5.9999999999999973</v>
      </c>
      <c r="F11" s="2"/>
      <c r="G11" s="2"/>
      <c r="H11" s="2">
        <f t="shared" si="0"/>
        <v>8.0295672763062989</v>
      </c>
      <c r="I11" s="2">
        <f t="shared" si="1"/>
        <v>8.9177379057287318</v>
      </c>
      <c r="J11" s="2">
        <v>7</v>
      </c>
      <c r="K11" s="2"/>
      <c r="L11" s="2">
        <f t="shared" ref="L11" si="24">SIN(RADIANS(N10*6))*12</f>
        <v>3.7082039324993685</v>
      </c>
      <c r="M11" s="2">
        <f t="shared" ref="M11" si="25">COS(RADIANS(N10*6))*12</f>
        <v>11.412678195541842</v>
      </c>
      <c r="N11" s="2">
        <v>3.5</v>
      </c>
      <c r="O11" s="2"/>
      <c r="P11" s="2"/>
      <c r="Q11" s="2"/>
      <c r="R11" s="2"/>
      <c r="S11" s="2"/>
      <c r="T11" s="2"/>
      <c r="U11" s="2"/>
      <c r="V11" s="2"/>
      <c r="W11" s="1"/>
      <c r="X11" s="1"/>
      <c r="Y11" s="1"/>
    </row>
    <row r="12" spans="1:25" x14ac:dyDescent="0.25">
      <c r="A12" s="2">
        <v>0</v>
      </c>
      <c r="B12" s="2">
        <v>0</v>
      </c>
      <c r="C12" s="2"/>
      <c r="D12" s="2">
        <f t="shared" ref="D12" si="26">SIN(RADIANS(F12*30))*10</f>
        <v>4.9999999999999991</v>
      </c>
      <c r="E12" s="2">
        <f t="shared" ref="E12" si="27">COS(RADIANS(F12*30))*10</f>
        <v>-8.6602540378443873</v>
      </c>
      <c r="F12" s="2">
        <v>5</v>
      </c>
      <c r="G12" s="2"/>
      <c r="H12" s="2">
        <f t="shared" si="0"/>
        <v>8.9177379057287318</v>
      </c>
      <c r="I12" s="2">
        <f t="shared" si="1"/>
        <v>8.0295672763062989</v>
      </c>
      <c r="J12" s="2">
        <v>8</v>
      </c>
      <c r="K12" s="2"/>
      <c r="L12" s="2">
        <f t="shared" ref="L12" si="28">SIN(RADIANS(N12*6))*11.5</f>
        <v>4.6774713953717022</v>
      </c>
      <c r="M12" s="2">
        <f t="shared" ref="M12" si="29">COS(RADIANS(N12*6))*11.5</f>
        <v>10.50577276288991</v>
      </c>
      <c r="N12" s="2">
        <v>4</v>
      </c>
      <c r="O12" s="2"/>
      <c r="P12" s="2"/>
      <c r="Q12" s="2"/>
      <c r="R12" s="2"/>
      <c r="S12" s="2"/>
      <c r="T12" s="2"/>
      <c r="U12" s="2"/>
      <c r="V12" s="2"/>
      <c r="W12" s="1"/>
      <c r="X12" s="1"/>
      <c r="Y12" s="1"/>
    </row>
    <row r="13" spans="1:25" x14ac:dyDescent="0.25">
      <c r="A13" s="2">
        <f ca="1">SIN(RADIANS(A2*30))*8</f>
        <v>6.9282032302755097</v>
      </c>
      <c r="B13" s="2">
        <f ca="1">COS(RADIANS(A2*30))*8</f>
        <v>-3.9999999999999982</v>
      </c>
      <c r="C13" s="2"/>
      <c r="D13" s="2">
        <f t="shared" ref="D13" si="30">SIN(RADIANS(F12*30))*12</f>
        <v>5.9999999999999991</v>
      </c>
      <c r="E13" s="2">
        <f t="shared" ref="E13" si="31">COS(RADIANS(F12*30))*12</f>
        <v>-10.392304845413264</v>
      </c>
      <c r="F13" s="2"/>
      <c r="G13" s="2"/>
      <c r="H13" s="2">
        <f t="shared" si="0"/>
        <v>9.7082039324993694</v>
      </c>
      <c r="I13" s="2">
        <f t="shared" si="1"/>
        <v>7.0534230275096776</v>
      </c>
      <c r="J13" s="2">
        <v>9</v>
      </c>
      <c r="K13" s="2"/>
      <c r="L13" s="2">
        <f t="shared" ref="L13" si="32">SIN(RADIANS(N12*6))*12</f>
        <v>4.8808397169096027</v>
      </c>
      <c r="M13" s="2">
        <f t="shared" ref="M13" si="33">COS(RADIANS(N12*6))*12</f>
        <v>10.962545491711211</v>
      </c>
      <c r="N13" s="2">
        <v>4.5</v>
      </c>
      <c r="O13" s="2"/>
      <c r="P13" s="2"/>
      <c r="Q13" s="2"/>
      <c r="R13" s="2"/>
      <c r="S13" s="2"/>
      <c r="T13" s="2"/>
      <c r="U13" s="2"/>
      <c r="V13" s="2"/>
      <c r="W13" s="1"/>
      <c r="X13" s="1"/>
      <c r="Y13" s="1"/>
    </row>
    <row r="14" spans="1:25" x14ac:dyDescent="0.25">
      <c r="A14" s="2"/>
      <c r="B14" s="2"/>
      <c r="C14" s="2"/>
      <c r="D14" s="2">
        <f t="shared" ref="D14" si="34">SIN(RADIANS(F14*30))*10</f>
        <v>1.22514845490862E-15</v>
      </c>
      <c r="E14" s="2">
        <f t="shared" ref="E14" si="35">COS(RADIANS(F14*30))*10</f>
        <v>-10</v>
      </c>
      <c r="F14" s="2">
        <v>6</v>
      </c>
      <c r="G14" s="2"/>
      <c r="H14" s="2">
        <f t="shared" si="0"/>
        <v>10.392304845413264</v>
      </c>
      <c r="I14" s="2">
        <f t="shared" si="1"/>
        <v>6.0000000000000018</v>
      </c>
      <c r="J14" s="2">
        <v>10</v>
      </c>
      <c r="K14" s="2"/>
      <c r="L14" s="2">
        <f t="shared" ref="L14" si="36">SIN(RADIANS(N14*6))*11.5</f>
        <v>5.7499999999999991</v>
      </c>
      <c r="M14" s="2">
        <f t="shared" ref="M14" si="37">COS(RADIANS(N14*6))*11.5</f>
        <v>9.9592921435210453</v>
      </c>
      <c r="N14" s="2">
        <v>5</v>
      </c>
      <c r="O14" s="2"/>
      <c r="P14" s="2"/>
      <c r="Q14" s="2"/>
      <c r="R14" s="2"/>
      <c r="S14" s="2"/>
      <c r="T14" s="2"/>
      <c r="U14" s="2"/>
      <c r="V14" s="2"/>
      <c r="W14" s="1"/>
      <c r="X14" s="1"/>
      <c r="Y14" s="1"/>
    </row>
    <row r="15" spans="1:25" x14ac:dyDescent="0.25">
      <c r="A15" s="2"/>
      <c r="B15" s="2"/>
      <c r="C15" s="2"/>
      <c r="D15" s="2">
        <f t="shared" ref="D15" si="38">SIN(RADIANS(F14*30))*12</f>
        <v>1.470178145890344E-15</v>
      </c>
      <c r="E15" s="2">
        <f t="shared" ref="E15" si="39">COS(RADIANS(F14*30))*12</f>
        <v>-12</v>
      </c>
      <c r="F15" s="2"/>
      <c r="G15" s="2"/>
      <c r="H15" s="2">
        <f t="shared" si="0"/>
        <v>10.962545491711211</v>
      </c>
      <c r="I15" s="2">
        <f t="shared" si="1"/>
        <v>4.8808397169096027</v>
      </c>
      <c r="J15" s="2">
        <v>11</v>
      </c>
      <c r="K15" s="2"/>
      <c r="L15" s="2">
        <f t="shared" ref="L15" si="40">SIN(RADIANS(N14*6))*12</f>
        <v>5.9999999999999991</v>
      </c>
      <c r="M15" s="2">
        <f t="shared" ref="M15" si="41">COS(RADIANS(N14*6))*12</f>
        <v>10.392304845413264</v>
      </c>
      <c r="N15" s="2">
        <v>5.5</v>
      </c>
      <c r="O15" s="2"/>
      <c r="P15" s="2"/>
      <c r="Q15" s="2"/>
      <c r="R15" s="2"/>
      <c r="S15" s="2"/>
      <c r="T15" s="2"/>
      <c r="U15" s="2"/>
      <c r="V15" s="2"/>
      <c r="W15" s="1"/>
      <c r="X15" s="1"/>
      <c r="Y15" s="1"/>
    </row>
    <row r="16" spans="1:25" x14ac:dyDescent="0.25">
      <c r="A16" s="2"/>
      <c r="B16" s="2"/>
      <c r="C16" s="2"/>
      <c r="D16" s="2">
        <f t="shared" ref="D16" si="42">SIN(RADIANS(F16*30))*10</f>
        <v>-5.0000000000000009</v>
      </c>
      <c r="E16" s="2">
        <f t="shared" ref="E16" si="43">COS(RADIANS(F16*30))*10</f>
        <v>-8.6602540378443855</v>
      </c>
      <c r="F16" s="2">
        <v>7</v>
      </c>
      <c r="G16" s="2"/>
      <c r="H16" s="2">
        <f t="shared" si="0"/>
        <v>11.412678195541842</v>
      </c>
      <c r="I16" s="2">
        <f t="shared" si="1"/>
        <v>3.7082039324993694</v>
      </c>
      <c r="J16" s="2">
        <v>12</v>
      </c>
      <c r="K16" s="2"/>
      <c r="L16" s="2">
        <f t="shared" ref="L16" si="44">SIN(RADIANS(N16*6))*11.5</f>
        <v>6.759530401363441</v>
      </c>
      <c r="M16" s="2">
        <f t="shared" ref="M16" si="45">COS(RADIANS(N16*6))*11.5</f>
        <v>9.3036954353118961</v>
      </c>
      <c r="N16" s="2">
        <v>6</v>
      </c>
      <c r="O16" s="2"/>
      <c r="P16" s="2"/>
      <c r="Q16" s="2"/>
      <c r="R16" s="2"/>
      <c r="S16" s="2"/>
      <c r="T16" s="2"/>
      <c r="U16" s="2"/>
      <c r="V16" s="2"/>
      <c r="W16" s="1"/>
      <c r="X16" s="1"/>
      <c r="Y16" s="1"/>
    </row>
    <row r="17" spans="1:25" x14ac:dyDescent="0.25">
      <c r="A17" s="2"/>
      <c r="B17" s="2"/>
      <c r="C17" s="2"/>
      <c r="D17" s="2">
        <f t="shared" ref="D17" si="46">SIN(RADIANS(F16*30))*12</f>
        <v>-6.0000000000000018</v>
      </c>
      <c r="E17" s="2">
        <f t="shared" ref="E17" si="47">COS(RADIANS(F16*30))*12</f>
        <v>-10.392304845413264</v>
      </c>
      <c r="F17" s="2"/>
      <c r="G17" s="2"/>
      <c r="H17" s="2">
        <f t="shared" si="0"/>
        <v>11.737771208805666</v>
      </c>
      <c r="I17" s="2">
        <f t="shared" si="1"/>
        <v>2.4949402898131137</v>
      </c>
      <c r="J17" s="2">
        <v>13</v>
      </c>
      <c r="K17" s="2"/>
      <c r="L17" s="2">
        <f t="shared" ref="L17" si="48">SIN(RADIANS(N16*6))*12</f>
        <v>7.0534230275096776</v>
      </c>
      <c r="M17" s="2">
        <f t="shared" ref="M17" si="49">COS(RADIANS(N16*6))*12</f>
        <v>9.7082039324993694</v>
      </c>
      <c r="N17" s="2">
        <v>6.5</v>
      </c>
      <c r="O17" s="2"/>
      <c r="P17" s="2"/>
      <c r="Q17" s="2"/>
      <c r="R17" s="2"/>
      <c r="S17" s="2"/>
      <c r="T17" s="2"/>
      <c r="U17" s="2"/>
      <c r="V17" s="2"/>
      <c r="W17" s="1"/>
      <c r="X17" s="1"/>
      <c r="Y17" s="1"/>
    </row>
    <row r="18" spans="1:25" x14ac:dyDescent="0.25">
      <c r="A18" s="2"/>
      <c r="B18" s="2"/>
      <c r="C18" s="2"/>
      <c r="D18" s="2">
        <f t="shared" ref="D18" si="50">SIN(RADIANS(F18*30))*10</f>
        <v>-8.6602540378443837</v>
      </c>
      <c r="E18" s="2">
        <f t="shared" ref="E18" si="51">COS(RADIANS(F18*30))*10</f>
        <v>-5.0000000000000044</v>
      </c>
      <c r="F18" s="2">
        <v>8</v>
      </c>
      <c r="G18" s="2"/>
      <c r="H18" s="2">
        <f t="shared" si="0"/>
        <v>11.934262744419279</v>
      </c>
      <c r="I18" s="2">
        <f t="shared" si="1"/>
        <v>1.2543415592118414</v>
      </c>
      <c r="J18" s="2">
        <v>14</v>
      </c>
      <c r="K18" s="2"/>
      <c r="L18" s="2">
        <f t="shared" ref="L18" si="52">SIN(RADIANS(N18*6))*11.5</f>
        <v>7.6950019731268693</v>
      </c>
      <c r="M18" s="2">
        <f t="shared" ref="M18" si="53">COS(RADIANS(N18*6))*11.5</f>
        <v>8.546165492990033</v>
      </c>
      <c r="N18" s="2">
        <v>7</v>
      </c>
      <c r="O18" s="2"/>
      <c r="P18" s="2"/>
      <c r="Q18" s="2"/>
      <c r="R18" s="2"/>
      <c r="S18" s="2"/>
      <c r="T18" s="2"/>
      <c r="U18" s="2"/>
      <c r="V18" s="2"/>
      <c r="W18" s="1"/>
      <c r="X18" s="1"/>
      <c r="Y18" s="1"/>
    </row>
    <row r="19" spans="1:25" x14ac:dyDescent="0.25">
      <c r="A19" s="2"/>
      <c r="B19" s="2"/>
      <c r="C19" s="2"/>
      <c r="D19" s="2">
        <f t="shared" ref="D19" si="54">SIN(RADIANS(F18*30))*12</f>
        <v>-10.39230484541326</v>
      </c>
      <c r="E19" s="2">
        <f t="shared" ref="E19" si="55">COS(RADIANS(F18*30))*12</f>
        <v>-6.0000000000000053</v>
      </c>
      <c r="F19" s="2"/>
      <c r="G19" s="2"/>
      <c r="H19" s="2">
        <f t="shared" si="0"/>
        <v>12</v>
      </c>
      <c r="I19" s="2">
        <f t="shared" si="1"/>
        <v>7.3508907294517201E-16</v>
      </c>
      <c r="J19" s="2">
        <v>15</v>
      </c>
      <c r="K19" s="2"/>
      <c r="L19" s="2">
        <f t="shared" ref="L19" si="56">SIN(RADIANS(N18*6))*12</f>
        <v>8.0295672763062989</v>
      </c>
      <c r="M19" s="2">
        <f t="shared" ref="M19" si="57">COS(RADIANS(N18*6))*12</f>
        <v>8.9177379057287318</v>
      </c>
      <c r="N19" s="2">
        <v>7.5</v>
      </c>
      <c r="O19" s="2"/>
      <c r="P19" s="2"/>
      <c r="Q19" s="2"/>
      <c r="R19" s="2"/>
      <c r="S19" s="2"/>
      <c r="T19" s="2"/>
      <c r="U19" s="2"/>
      <c r="V19" s="2"/>
      <c r="W19" s="1"/>
      <c r="X19" s="1"/>
      <c r="Y19" s="1"/>
    </row>
    <row r="20" spans="1:25" x14ac:dyDescent="0.25">
      <c r="A20" s="2"/>
      <c r="B20" s="2"/>
      <c r="C20" s="2"/>
      <c r="D20" s="2">
        <f t="shared" ref="D20" si="58">SIN(RADIANS(F20*30))*10</f>
        <v>-10</v>
      </c>
      <c r="E20" s="2">
        <f t="shared" ref="E20" si="59">COS(RADIANS(F20*30))*10</f>
        <v>-1.83772268236293E-15</v>
      </c>
      <c r="F20" s="2">
        <v>9</v>
      </c>
      <c r="G20" s="2"/>
      <c r="H20" s="2">
        <f t="shared" si="0"/>
        <v>11.934262744419279</v>
      </c>
      <c r="I20" s="2">
        <f t="shared" si="1"/>
        <v>-1.2543415592118428</v>
      </c>
      <c r="J20" s="2">
        <v>16</v>
      </c>
      <c r="K20" s="2"/>
      <c r="L20" s="2">
        <f t="shared" ref="L20" si="60">SIN(RADIANS(N20*6))*11.5</f>
        <v>8.546165492990033</v>
      </c>
      <c r="M20" s="2">
        <f t="shared" ref="M20" si="61">COS(RADIANS(N20*6))*11.5</f>
        <v>7.6950019731268693</v>
      </c>
      <c r="N20" s="2">
        <v>8</v>
      </c>
      <c r="O20" s="2"/>
      <c r="P20" s="2"/>
      <c r="Q20" s="2"/>
      <c r="R20" s="2"/>
      <c r="S20" s="2"/>
      <c r="T20" s="2"/>
      <c r="U20" s="2"/>
      <c r="V20" s="2"/>
      <c r="W20" s="1"/>
      <c r="X20" s="1"/>
      <c r="Y20" s="1"/>
    </row>
    <row r="21" spans="1:25" x14ac:dyDescent="0.25">
      <c r="A21" s="2"/>
      <c r="B21" s="2"/>
      <c r="C21" s="2"/>
      <c r="D21" s="2">
        <f t="shared" ref="D21" si="62">SIN(RADIANS(F20*30))*12</f>
        <v>-12</v>
      </c>
      <c r="E21" s="2">
        <f t="shared" ref="E21" si="63">COS(RADIANS(F20*30))*12</f>
        <v>-2.205267218835516E-15</v>
      </c>
      <c r="F21" s="2"/>
      <c r="G21" s="2"/>
      <c r="H21" s="2">
        <f t="shared" si="0"/>
        <v>11.737771208805668</v>
      </c>
      <c r="I21" s="2">
        <f t="shared" si="1"/>
        <v>-2.4949402898131119</v>
      </c>
      <c r="J21" s="2">
        <v>17</v>
      </c>
      <c r="K21" s="2"/>
      <c r="L21" s="2">
        <f t="shared" ref="L21" si="64">SIN(RADIANS(N20*6))*12</f>
        <v>8.9177379057287318</v>
      </c>
      <c r="M21" s="2">
        <f t="shared" ref="M21" si="65">COS(RADIANS(N20*6))*12</f>
        <v>8.0295672763062989</v>
      </c>
      <c r="N21" s="2">
        <v>8.5</v>
      </c>
      <c r="O21" s="2"/>
      <c r="P21" s="2"/>
      <c r="Q21" s="2"/>
      <c r="R21" s="2"/>
      <c r="S21" s="2"/>
      <c r="T21" s="2"/>
      <c r="U21" s="2"/>
      <c r="V21" s="2"/>
      <c r="W21" s="1"/>
      <c r="X21" s="1"/>
      <c r="Y21" s="1"/>
    </row>
    <row r="22" spans="1:25" x14ac:dyDescent="0.25">
      <c r="A22" s="2"/>
      <c r="B22" s="2"/>
      <c r="C22" s="2"/>
      <c r="D22" s="2">
        <f t="shared" ref="D22" si="66">SIN(RADIANS(F22*30))*10</f>
        <v>-8.6602540378443855</v>
      </c>
      <c r="E22" s="2">
        <f t="shared" ref="E22" si="67">COS(RADIANS(F22*30))*10</f>
        <v>5.0000000000000009</v>
      </c>
      <c r="F22" s="2">
        <v>10</v>
      </c>
      <c r="G22" s="2"/>
      <c r="H22" s="2">
        <f t="shared" si="0"/>
        <v>11.412678195541844</v>
      </c>
      <c r="I22" s="2">
        <f t="shared" si="1"/>
        <v>-3.7082039324993681</v>
      </c>
      <c r="J22" s="2">
        <v>18</v>
      </c>
      <c r="K22" s="2"/>
      <c r="L22" s="2">
        <f t="shared" ref="L22" si="68">SIN(RADIANS(N22*6))*11.5</f>
        <v>9.3036954353118961</v>
      </c>
      <c r="M22" s="2">
        <f t="shared" ref="M22" si="69">COS(RADIANS(N22*6))*11.5</f>
        <v>6.759530401363441</v>
      </c>
      <c r="N22" s="2">
        <v>9</v>
      </c>
      <c r="O22" s="2"/>
      <c r="P22" s="2"/>
      <c r="Q22" s="2"/>
      <c r="R22" s="2"/>
      <c r="S22" s="2"/>
      <c r="T22" s="2"/>
      <c r="U22" s="2"/>
      <c r="V22" s="2"/>
      <c r="W22" s="1"/>
      <c r="X22" s="1"/>
      <c r="Y22" s="1"/>
    </row>
    <row r="23" spans="1:25" x14ac:dyDescent="0.25">
      <c r="A23" s="2"/>
      <c r="B23" s="2"/>
      <c r="C23" s="2"/>
      <c r="D23" s="2">
        <f t="shared" ref="D23" si="70">SIN(RADIANS(F22*30))*12</f>
        <v>-10.392304845413264</v>
      </c>
      <c r="E23" s="2">
        <f t="shared" ref="E23" si="71">COS(RADIANS(F22*30))*12</f>
        <v>6.0000000000000018</v>
      </c>
      <c r="F23" s="2"/>
      <c r="G23" s="2"/>
      <c r="H23" s="2">
        <f t="shared" si="0"/>
        <v>10.962545491711211</v>
      </c>
      <c r="I23" s="2">
        <f t="shared" si="1"/>
        <v>-4.8808397169096036</v>
      </c>
      <c r="J23" s="2">
        <v>19</v>
      </c>
      <c r="K23" s="2"/>
      <c r="L23" s="2">
        <f t="shared" ref="L23" si="72">SIN(RADIANS(N22*6))*12</f>
        <v>9.7082039324993694</v>
      </c>
      <c r="M23" s="2">
        <f t="shared" ref="M23" si="73">COS(RADIANS(N22*6))*12</f>
        <v>7.0534230275096776</v>
      </c>
      <c r="N23" s="2">
        <v>9.5</v>
      </c>
      <c r="O23" s="2"/>
      <c r="P23" s="2"/>
      <c r="Q23" s="2"/>
      <c r="R23" s="2"/>
      <c r="S23" s="2"/>
      <c r="T23" s="2"/>
      <c r="U23" s="2"/>
      <c r="V23" s="2"/>
      <c r="W23" s="1"/>
      <c r="X23" s="1"/>
      <c r="Y23" s="1"/>
    </row>
    <row r="24" spans="1:25" x14ac:dyDescent="0.25">
      <c r="A24" s="2"/>
      <c r="B24" s="2"/>
      <c r="C24" s="2"/>
      <c r="D24" s="2">
        <f t="shared" ref="D24" si="74">SIN(RADIANS(F24*30))*10</f>
        <v>-5.0000000000000044</v>
      </c>
      <c r="E24" s="2">
        <f t="shared" ref="E24" si="75">COS(RADIANS(F24*30))*10</f>
        <v>8.6602540378443837</v>
      </c>
      <c r="F24" s="2">
        <v>11</v>
      </c>
      <c r="G24" s="2"/>
      <c r="H24" s="2">
        <f t="shared" si="0"/>
        <v>10.392304845413264</v>
      </c>
      <c r="I24" s="2">
        <f t="shared" si="1"/>
        <v>-5.9999999999999973</v>
      </c>
      <c r="J24" s="2">
        <v>20</v>
      </c>
      <c r="K24" s="2"/>
      <c r="L24" s="2">
        <f t="shared" ref="L24" si="76">SIN(RADIANS(N24*6))*11.5</f>
        <v>9.9592921435210435</v>
      </c>
      <c r="M24" s="2">
        <f t="shared" ref="M24" si="77">COS(RADIANS(N24*6))*11.5</f>
        <v>5.7500000000000009</v>
      </c>
      <c r="N24" s="2">
        <v>10</v>
      </c>
      <c r="O24" s="2"/>
      <c r="P24" s="2"/>
      <c r="Q24" s="2"/>
      <c r="R24" s="2"/>
      <c r="S24" s="2"/>
      <c r="T24" s="2"/>
      <c r="U24" s="2"/>
      <c r="V24" s="2"/>
      <c r="W24" s="1"/>
      <c r="X24" s="1"/>
      <c r="Y24" s="1"/>
    </row>
    <row r="25" spans="1:25" x14ac:dyDescent="0.25">
      <c r="A25" s="2"/>
      <c r="B25" s="2"/>
      <c r="C25" s="2"/>
      <c r="D25" s="2">
        <f t="shared" ref="D25" si="78">SIN(RADIANS(F24*30))*12</f>
        <v>-6.0000000000000053</v>
      </c>
      <c r="E25" s="2">
        <f t="shared" ref="E25" si="79">COS(RADIANS(F24*30))*12</f>
        <v>10.39230484541326</v>
      </c>
      <c r="F25" s="2"/>
      <c r="G25" s="2"/>
      <c r="H25" s="2">
        <f t="shared" si="0"/>
        <v>9.7082039324993694</v>
      </c>
      <c r="I25" s="2">
        <f t="shared" si="1"/>
        <v>-7.0534230275096768</v>
      </c>
      <c r="J25" s="2">
        <v>21</v>
      </c>
      <c r="K25" s="2"/>
      <c r="L25" s="2">
        <f t="shared" ref="L25" si="80">SIN(RADIANS(N24*6))*12</f>
        <v>10.392304845413264</v>
      </c>
      <c r="M25" s="2">
        <f t="shared" ref="M25" si="81">COS(RADIANS(N24*6))*12</f>
        <v>6.0000000000000018</v>
      </c>
      <c r="N25" s="2">
        <v>10.5</v>
      </c>
      <c r="O25" s="2"/>
      <c r="P25" s="2"/>
      <c r="Q25" s="2"/>
      <c r="R25" s="2"/>
      <c r="S25" s="2"/>
      <c r="T25" s="2"/>
      <c r="U25" s="2"/>
      <c r="V25" s="2"/>
      <c r="W25" s="1"/>
      <c r="X25" s="1"/>
      <c r="Y25" s="1"/>
    </row>
    <row r="26" spans="1:25" x14ac:dyDescent="0.25">
      <c r="A26" s="2"/>
      <c r="B26" s="2"/>
      <c r="C26" s="2"/>
      <c r="D26" s="2">
        <f t="shared" ref="D26" si="82">SIN(RADIANS(F26*30))*10</f>
        <v>-2.45029690981724E-15</v>
      </c>
      <c r="E26" s="2">
        <f t="shared" ref="E26" si="83">COS(RADIANS(F26*30))*10</f>
        <v>10</v>
      </c>
      <c r="F26" s="2">
        <v>12</v>
      </c>
      <c r="G26" s="2"/>
      <c r="H26" s="2">
        <f t="shared" si="0"/>
        <v>8.9177379057287318</v>
      </c>
      <c r="I26" s="2">
        <f t="shared" si="1"/>
        <v>-8.0295672763062989</v>
      </c>
      <c r="J26" s="2">
        <v>22</v>
      </c>
      <c r="K26" s="2"/>
      <c r="L26" s="2">
        <f t="shared" ref="L26" si="84">SIN(RADIANS(N26*6))*11.5</f>
        <v>10.50577276288991</v>
      </c>
      <c r="M26" s="2">
        <f t="shared" ref="M26" si="85">COS(RADIANS(N26*6))*11.5</f>
        <v>4.6774713953717022</v>
      </c>
      <c r="N26" s="2">
        <v>11</v>
      </c>
      <c r="O26" s="2"/>
      <c r="P26" s="2"/>
      <c r="Q26" s="2"/>
      <c r="R26" s="2"/>
      <c r="S26" s="2"/>
      <c r="T26" s="2"/>
      <c r="U26" s="2"/>
      <c r="V26" s="2"/>
      <c r="W26" s="1"/>
      <c r="X26" s="1"/>
      <c r="Y26" s="1"/>
    </row>
    <row r="27" spans="1:25" x14ac:dyDescent="0.25">
      <c r="A27" s="2"/>
      <c r="B27" s="2"/>
      <c r="C27" s="2"/>
      <c r="D27" s="2">
        <f t="shared" ref="D27" si="86">SIN(RADIANS(F26*30))*12</f>
        <v>-2.940356291780688E-15</v>
      </c>
      <c r="E27" s="2">
        <f t="shared" ref="E27" si="87">COS(RADIANS(F26*30))*12</f>
        <v>12</v>
      </c>
      <c r="F27" s="2"/>
      <c r="G27" s="2"/>
      <c r="H27" s="2">
        <f t="shared" si="0"/>
        <v>8.0295672763063006</v>
      </c>
      <c r="I27" s="2">
        <f t="shared" si="1"/>
        <v>-8.9177379057287283</v>
      </c>
      <c r="J27" s="2">
        <v>23</v>
      </c>
      <c r="K27" s="2"/>
      <c r="L27" s="2">
        <f t="shared" ref="L27" si="88">SIN(RADIANS(N26*6))*12</f>
        <v>10.962545491711211</v>
      </c>
      <c r="M27" s="2">
        <f t="shared" ref="M27" si="89">COS(RADIANS(N26*6))*12</f>
        <v>4.8808397169096027</v>
      </c>
      <c r="N27" s="2">
        <v>11.5</v>
      </c>
      <c r="O27" s="2"/>
      <c r="P27" s="2"/>
      <c r="Q27" s="2"/>
      <c r="R27" s="2"/>
      <c r="S27" s="2"/>
      <c r="T27" s="2"/>
      <c r="U27" s="2"/>
      <c r="V27" s="2"/>
      <c r="W27" s="1"/>
      <c r="X27" s="1"/>
      <c r="Y27" s="1"/>
    </row>
    <row r="28" spans="1:25" x14ac:dyDescent="0.25">
      <c r="A28" s="2"/>
      <c r="B28" s="2"/>
      <c r="C28" s="2"/>
      <c r="D28" s="2"/>
      <c r="E28" s="2"/>
      <c r="F28" s="2"/>
      <c r="G28" s="2"/>
      <c r="H28" s="2">
        <f t="shared" si="0"/>
        <v>7.0534230275096785</v>
      </c>
      <c r="I28" s="2">
        <f t="shared" si="1"/>
        <v>-9.7082039324993676</v>
      </c>
      <c r="J28" s="2">
        <v>24</v>
      </c>
      <c r="K28" s="2"/>
      <c r="L28" s="2">
        <f t="shared" ref="L28" si="90">SIN(RADIANS(N28*6))*11.5</f>
        <v>10.937149937394265</v>
      </c>
      <c r="M28" s="2">
        <f t="shared" ref="M28" si="91">COS(RADIANS(N28*6))*11.5</f>
        <v>3.5536954353118957</v>
      </c>
      <c r="N28" s="2">
        <v>12</v>
      </c>
      <c r="O28" s="2"/>
      <c r="P28" s="2"/>
      <c r="Q28" s="2"/>
      <c r="R28" s="2"/>
      <c r="S28" s="2"/>
      <c r="T28" s="2"/>
      <c r="U28" s="2"/>
      <c r="V28" s="2"/>
      <c r="W28" s="1"/>
      <c r="X28" s="1"/>
      <c r="Y28" s="1"/>
    </row>
    <row r="29" spans="1:25" x14ac:dyDescent="0.25">
      <c r="A29" s="2"/>
      <c r="B29" s="2"/>
      <c r="C29" s="2"/>
      <c r="D29" s="2"/>
      <c r="E29" s="2"/>
      <c r="F29" s="2"/>
      <c r="G29" s="2"/>
      <c r="H29" s="2">
        <f t="shared" si="0"/>
        <v>5.9999999999999991</v>
      </c>
      <c r="I29" s="2">
        <f t="shared" si="1"/>
        <v>-10.392304845413264</v>
      </c>
      <c r="J29" s="2">
        <v>25</v>
      </c>
      <c r="K29" s="2"/>
      <c r="L29" s="2">
        <f t="shared" ref="L29" si="92">SIN(RADIANS(N28*6))*12</f>
        <v>11.412678195541842</v>
      </c>
      <c r="M29" s="2">
        <f t="shared" ref="M29" si="93">COS(RADIANS(N28*6))*12</f>
        <v>3.7082039324993694</v>
      </c>
      <c r="N29" s="2">
        <v>12.5</v>
      </c>
      <c r="O29" s="2"/>
      <c r="P29" s="2"/>
      <c r="Q29" s="2"/>
      <c r="R29" s="2"/>
      <c r="S29" s="2"/>
      <c r="T29" s="2"/>
      <c r="U29" s="2"/>
      <c r="V29" s="2"/>
      <c r="W29" s="1"/>
      <c r="X29" s="1"/>
      <c r="Y29" s="1"/>
    </row>
    <row r="30" spans="1:25" x14ac:dyDescent="0.25">
      <c r="A30" s="2"/>
      <c r="B30" s="2"/>
      <c r="C30" s="2"/>
      <c r="D30" s="2"/>
      <c r="E30" s="2"/>
      <c r="F30" s="2"/>
      <c r="G30" s="2"/>
      <c r="H30" s="2">
        <f t="shared" si="0"/>
        <v>4.8808397169096054</v>
      </c>
      <c r="I30" s="2">
        <f t="shared" si="1"/>
        <v>-10.962545491711209</v>
      </c>
      <c r="J30" s="2">
        <v>26</v>
      </c>
      <c r="K30" s="2"/>
      <c r="L30" s="2">
        <f t="shared" ref="L30" si="94">SIN(RADIANS(N30*6))*11.5</f>
        <v>11.248697408438764</v>
      </c>
      <c r="M30" s="2">
        <f t="shared" ref="M30" si="95">COS(RADIANS(N30*6))*11.5</f>
        <v>2.3909844444042339</v>
      </c>
      <c r="N30" s="2">
        <v>13</v>
      </c>
      <c r="O30" s="2"/>
      <c r="P30" s="2"/>
      <c r="Q30" s="2"/>
      <c r="R30" s="2"/>
      <c r="S30" s="2"/>
      <c r="T30" s="2"/>
      <c r="U30" s="2"/>
      <c r="V30" s="2"/>
      <c r="W30" s="1"/>
      <c r="X30" s="1"/>
      <c r="Y30" s="1"/>
    </row>
    <row r="31" spans="1:25" x14ac:dyDescent="0.25">
      <c r="A31" s="2"/>
      <c r="B31" s="2"/>
      <c r="C31" s="2"/>
      <c r="D31" s="2"/>
      <c r="E31" s="2"/>
      <c r="F31" s="2"/>
      <c r="G31" s="2"/>
      <c r="H31" s="2">
        <f t="shared" si="0"/>
        <v>3.7082039324993703</v>
      </c>
      <c r="I31" s="2">
        <f t="shared" si="1"/>
        <v>-11.412678195541842</v>
      </c>
      <c r="J31" s="2">
        <v>27</v>
      </c>
      <c r="K31" s="2"/>
      <c r="L31" s="2">
        <f t="shared" ref="L31" si="96">SIN(RADIANS(N30*6))*12</f>
        <v>11.737771208805666</v>
      </c>
      <c r="M31" s="2">
        <f t="shared" ref="M31" si="97">COS(RADIANS(N30*6))*12</f>
        <v>2.4949402898131137</v>
      </c>
      <c r="N31" s="2">
        <v>13.5</v>
      </c>
      <c r="O31" s="2"/>
      <c r="P31" s="2"/>
      <c r="Q31" s="2"/>
      <c r="R31" s="2"/>
      <c r="S31" s="2"/>
      <c r="T31" s="2"/>
      <c r="U31" s="2"/>
      <c r="V31" s="2"/>
      <c r="W31" s="1"/>
      <c r="X31" s="1"/>
      <c r="Y31" s="1"/>
    </row>
    <row r="32" spans="1:25" x14ac:dyDescent="0.25">
      <c r="A32" s="2"/>
      <c r="B32" s="2"/>
      <c r="C32" s="2"/>
      <c r="D32" s="2"/>
      <c r="E32" s="2"/>
      <c r="F32" s="2"/>
      <c r="G32" s="2"/>
      <c r="H32" s="2">
        <f t="shared" si="0"/>
        <v>2.4949402898131119</v>
      </c>
      <c r="I32" s="2">
        <f t="shared" si="1"/>
        <v>-11.737771208805668</v>
      </c>
      <c r="J32" s="2">
        <v>28</v>
      </c>
      <c r="K32" s="2"/>
      <c r="L32" s="2">
        <f t="shared" ref="L32" si="98">SIN(RADIANS(N32*6))*11.5</f>
        <v>11.437001796735142</v>
      </c>
      <c r="M32" s="2">
        <f t="shared" ref="M32" si="99">COS(RADIANS(N32*6))*11.5</f>
        <v>1.2020773275780148</v>
      </c>
      <c r="N32" s="2">
        <v>14</v>
      </c>
      <c r="O32" s="2"/>
      <c r="P32" s="2"/>
      <c r="Q32" s="2"/>
      <c r="R32" s="2"/>
      <c r="S32" s="2"/>
      <c r="T32" s="2"/>
      <c r="U32" s="2"/>
      <c r="V32" s="2"/>
      <c r="W32" s="1"/>
      <c r="X32" s="1"/>
      <c r="Y32" s="1"/>
    </row>
    <row r="33" spans="1:25" x14ac:dyDescent="0.25">
      <c r="A33" s="2"/>
      <c r="B33" s="2"/>
      <c r="C33" s="2"/>
      <c r="D33" s="2"/>
      <c r="E33" s="2"/>
      <c r="F33" s="2"/>
      <c r="G33" s="2"/>
      <c r="H33" s="2">
        <f t="shared" si="0"/>
        <v>1.2543415592118448</v>
      </c>
      <c r="I33" s="2">
        <f t="shared" si="1"/>
        <v>-11.934262744419279</v>
      </c>
      <c r="J33" s="2">
        <v>29</v>
      </c>
      <c r="K33" s="2"/>
      <c r="L33" s="2">
        <f t="shared" ref="L33" si="100">SIN(RADIANS(N32*6))*12</f>
        <v>11.934262744419279</v>
      </c>
      <c r="M33" s="2">
        <f t="shared" ref="M33" si="101">COS(RADIANS(N32*6))*12</f>
        <v>1.2543415592118414</v>
      </c>
      <c r="N33" s="2">
        <v>14.5</v>
      </c>
      <c r="O33" s="2"/>
      <c r="P33" s="2"/>
      <c r="Q33" s="2"/>
      <c r="R33" s="2"/>
      <c r="S33" s="2"/>
      <c r="T33" s="2"/>
      <c r="U33" s="2"/>
      <c r="V33" s="2"/>
      <c r="W33" s="1"/>
      <c r="X33" s="1"/>
      <c r="Y33" s="1"/>
    </row>
    <row r="34" spans="1:25" x14ac:dyDescent="0.25">
      <c r="A34" s="2"/>
      <c r="B34" s="2"/>
      <c r="C34" s="2"/>
      <c r="D34" s="2"/>
      <c r="E34" s="2"/>
      <c r="F34" s="2"/>
      <c r="G34" s="2"/>
      <c r="H34" s="2">
        <f t="shared" si="0"/>
        <v>1.470178145890344E-15</v>
      </c>
      <c r="I34" s="2">
        <f t="shared" si="1"/>
        <v>-12</v>
      </c>
      <c r="J34" s="2">
        <v>30</v>
      </c>
      <c r="L34" s="2">
        <f t="shared" ref="L34" si="102">SIN(RADIANS(N34*6))*11.5</f>
        <v>11.5</v>
      </c>
      <c r="M34" s="2">
        <f t="shared" ref="M34" si="103">COS(RADIANS(N34*6))*11.5</f>
        <v>7.0446036157245651E-16</v>
      </c>
      <c r="N34" s="2">
        <v>15</v>
      </c>
      <c r="O34" s="2"/>
      <c r="P34" s="2"/>
      <c r="Q34" s="2"/>
      <c r="R34" s="2"/>
      <c r="S34" s="2"/>
      <c r="T34" s="2"/>
      <c r="U34" s="2"/>
      <c r="V34" s="2"/>
      <c r="W34" s="1"/>
      <c r="X34" s="1"/>
      <c r="Y34" s="1"/>
    </row>
    <row r="35" spans="1:25" x14ac:dyDescent="0.25">
      <c r="A35" s="2"/>
      <c r="B35" s="2"/>
      <c r="C35" s="2"/>
      <c r="D35" s="2"/>
      <c r="E35" s="2"/>
      <c r="F35" s="2"/>
      <c r="G35" s="2"/>
      <c r="H35" s="2">
        <f t="shared" si="0"/>
        <v>-1.2543415592118419</v>
      </c>
      <c r="I35" s="2">
        <f t="shared" si="1"/>
        <v>-11.934262744419279</v>
      </c>
      <c r="J35" s="2">
        <v>31</v>
      </c>
      <c r="L35" s="2">
        <f t="shared" ref="L35" si="104">SIN(RADIANS(N34*6))*12</f>
        <v>12</v>
      </c>
      <c r="M35" s="2">
        <f t="shared" ref="M35" si="105">COS(RADIANS(N34*6))*12</f>
        <v>7.3508907294517201E-16</v>
      </c>
      <c r="N35" s="2">
        <v>15.5</v>
      </c>
      <c r="O35" s="2"/>
      <c r="P35" s="2"/>
      <c r="Q35" s="2"/>
      <c r="R35" s="2"/>
      <c r="S35" s="2"/>
      <c r="T35" s="2"/>
      <c r="U35" s="2"/>
      <c r="V35" s="2"/>
      <c r="W35" s="1"/>
      <c r="X35" s="1"/>
      <c r="Y35" s="1"/>
    </row>
    <row r="36" spans="1:25" x14ac:dyDescent="0.25">
      <c r="A36" s="2"/>
      <c r="B36" s="2"/>
      <c r="C36" s="2"/>
      <c r="D36" s="2"/>
      <c r="E36" s="2"/>
      <c r="F36" s="2"/>
      <c r="G36" s="2"/>
      <c r="H36" s="2">
        <f t="shared" si="0"/>
        <v>-2.4949402898131141</v>
      </c>
      <c r="I36" s="2">
        <f t="shared" si="1"/>
        <v>-11.737771208805666</v>
      </c>
      <c r="J36" s="2">
        <v>32</v>
      </c>
      <c r="L36" s="2">
        <f t="shared" ref="L36" si="106">SIN(RADIANS(N36*6))*11.5</f>
        <v>11.437001796735142</v>
      </c>
      <c r="M36" s="2">
        <f t="shared" ref="M36" si="107">COS(RADIANS(N36*6))*11.5</f>
        <v>-1.2020773275780159</v>
      </c>
      <c r="N36" s="2">
        <v>16</v>
      </c>
      <c r="O36" s="2"/>
      <c r="P36" s="2"/>
      <c r="Q36" s="2"/>
      <c r="R36" s="2"/>
      <c r="S36" s="2"/>
      <c r="T36" s="2"/>
      <c r="U36" s="2"/>
      <c r="V36" s="2"/>
      <c r="W36" s="1"/>
      <c r="X36" s="1"/>
      <c r="Y36" s="1"/>
    </row>
    <row r="37" spans="1:25" x14ac:dyDescent="0.25">
      <c r="A37" s="2"/>
      <c r="B37" s="2"/>
      <c r="C37" s="2"/>
      <c r="D37" s="2"/>
      <c r="E37" s="2"/>
      <c r="F37" s="2"/>
      <c r="G37" s="2"/>
      <c r="H37" s="2">
        <f t="shared" si="0"/>
        <v>-3.7082039324993676</v>
      </c>
      <c r="I37" s="2">
        <f t="shared" si="1"/>
        <v>-11.412678195541844</v>
      </c>
      <c r="J37" s="2">
        <v>33</v>
      </c>
      <c r="K37" s="2"/>
      <c r="L37" s="2">
        <f t="shared" ref="L37" si="108">SIN(RADIANS(N36*6))*12</f>
        <v>11.934262744419279</v>
      </c>
      <c r="M37" s="2">
        <f t="shared" ref="M37" si="109">COS(RADIANS(N36*6))*12</f>
        <v>-1.2543415592118428</v>
      </c>
      <c r="N37" s="2">
        <v>16.5</v>
      </c>
      <c r="O37" s="2"/>
      <c r="P37" s="2"/>
      <c r="Q37" s="2"/>
      <c r="R37" s="2"/>
      <c r="S37" s="2"/>
      <c r="T37" s="2"/>
      <c r="U37" s="2"/>
      <c r="V37" s="2"/>
      <c r="W37" s="1"/>
      <c r="X37" s="1"/>
      <c r="Y37" s="1"/>
    </row>
    <row r="38" spans="1:25" x14ac:dyDescent="0.25">
      <c r="A38" s="2"/>
      <c r="B38" s="2"/>
      <c r="C38" s="2"/>
      <c r="D38" s="2"/>
      <c r="E38" s="2"/>
      <c r="F38" s="2"/>
      <c r="G38" s="2"/>
      <c r="H38" s="2">
        <f t="shared" si="0"/>
        <v>-4.8808397169096027</v>
      </c>
      <c r="I38" s="2">
        <f t="shared" si="1"/>
        <v>-10.962545491711211</v>
      </c>
      <c r="J38" s="2">
        <v>34</v>
      </c>
      <c r="K38" s="2"/>
      <c r="L38" s="2">
        <f t="shared" ref="L38" si="110">SIN(RADIANS(N38*6))*11.5</f>
        <v>11.248697408438765</v>
      </c>
      <c r="M38" s="2">
        <f t="shared" ref="M38" si="111">COS(RADIANS(N38*6))*11.5</f>
        <v>-2.3909844444042325</v>
      </c>
      <c r="N38" s="2">
        <v>17</v>
      </c>
      <c r="O38" s="2"/>
      <c r="P38" s="2"/>
      <c r="Q38" s="2"/>
      <c r="R38" s="2"/>
      <c r="S38" s="2"/>
      <c r="T38" s="2"/>
      <c r="U38" s="2"/>
      <c r="V38" s="2"/>
      <c r="W38" s="1"/>
      <c r="X38" s="1"/>
      <c r="Y38" s="1"/>
    </row>
    <row r="39" spans="1:25" x14ac:dyDescent="0.25">
      <c r="A39" s="2"/>
      <c r="B39" s="2"/>
      <c r="C39" s="2"/>
      <c r="D39" s="2"/>
      <c r="E39" s="2"/>
      <c r="F39" s="2"/>
      <c r="G39" s="2"/>
      <c r="H39" s="2">
        <f t="shared" si="0"/>
        <v>-6.0000000000000018</v>
      </c>
      <c r="I39" s="2">
        <f t="shared" si="1"/>
        <v>-10.392304845413264</v>
      </c>
      <c r="J39" s="2">
        <v>35</v>
      </c>
      <c r="K39" s="2"/>
      <c r="L39" s="2">
        <f t="shared" ref="L39" si="112">SIN(RADIANS(N38*6))*12</f>
        <v>11.737771208805668</v>
      </c>
      <c r="M39" s="2">
        <f t="shared" ref="M39" si="113">COS(RADIANS(N38*6))*12</f>
        <v>-2.4949402898131119</v>
      </c>
      <c r="N39" s="2">
        <v>17.5</v>
      </c>
      <c r="O39" s="2"/>
      <c r="P39" s="2"/>
      <c r="Q39" s="2"/>
      <c r="R39" s="2"/>
      <c r="S39" s="2"/>
      <c r="T39" s="2"/>
      <c r="U39" s="2"/>
      <c r="V39" s="2"/>
      <c r="W39" s="1"/>
      <c r="X39" s="1"/>
      <c r="Y39" s="1"/>
    </row>
    <row r="40" spans="1:25" x14ac:dyDescent="0.25">
      <c r="A40" s="2"/>
      <c r="B40" s="2"/>
      <c r="C40" s="2"/>
      <c r="D40" s="2"/>
      <c r="E40" s="2"/>
      <c r="F40" s="2"/>
      <c r="G40" s="2"/>
      <c r="H40" s="2">
        <f t="shared" si="0"/>
        <v>-7.0534230275096768</v>
      </c>
      <c r="I40" s="2">
        <f t="shared" si="1"/>
        <v>-9.7082039324993712</v>
      </c>
      <c r="J40" s="2">
        <v>36</v>
      </c>
      <c r="K40" s="2"/>
      <c r="L40" s="2">
        <f t="shared" ref="L40" si="114">SIN(RADIANS(N40*6))*11.5</f>
        <v>10.937149937394267</v>
      </c>
      <c r="M40" s="2">
        <f t="shared" ref="M40" si="115">COS(RADIANS(N40*6))*11.5</f>
        <v>-3.5536954353118944</v>
      </c>
      <c r="N40" s="2">
        <v>18</v>
      </c>
      <c r="O40" s="2"/>
      <c r="P40" s="2"/>
      <c r="Q40" s="2"/>
      <c r="R40" s="2"/>
      <c r="S40" s="2"/>
      <c r="T40" s="2"/>
      <c r="U40" s="2"/>
      <c r="V40" s="2"/>
      <c r="W40" s="1"/>
      <c r="X40" s="1"/>
      <c r="Y40" s="1"/>
    </row>
    <row r="41" spans="1:25" x14ac:dyDescent="0.25">
      <c r="A41" s="2"/>
      <c r="B41" s="2"/>
      <c r="C41" s="2"/>
      <c r="D41" s="2"/>
      <c r="E41" s="2"/>
      <c r="F41" s="2"/>
      <c r="G41" s="2"/>
      <c r="H41" s="2">
        <f t="shared" si="0"/>
        <v>-8.0295672763062989</v>
      </c>
      <c r="I41" s="2">
        <f t="shared" si="1"/>
        <v>-8.9177379057287318</v>
      </c>
      <c r="J41" s="2">
        <v>37</v>
      </c>
      <c r="K41" s="2"/>
      <c r="L41" s="2">
        <f t="shared" ref="L41" si="116">SIN(RADIANS(N40*6))*12</f>
        <v>11.412678195541844</v>
      </c>
      <c r="M41" s="2">
        <f t="shared" ref="M41" si="117">COS(RADIANS(N40*6))*12</f>
        <v>-3.7082039324993681</v>
      </c>
      <c r="N41" s="2">
        <v>18.5</v>
      </c>
      <c r="O41" s="2"/>
      <c r="P41" s="2"/>
      <c r="Q41" s="2"/>
      <c r="R41" s="2"/>
      <c r="S41" s="2"/>
      <c r="T41" s="2"/>
      <c r="U41" s="2"/>
      <c r="V41" s="2"/>
      <c r="W41" s="1"/>
      <c r="X41" s="1"/>
      <c r="Y41" s="1"/>
    </row>
    <row r="42" spans="1:25" x14ac:dyDescent="0.25">
      <c r="A42" s="2"/>
      <c r="B42" s="2"/>
      <c r="C42" s="2"/>
      <c r="D42" s="2"/>
      <c r="E42" s="2"/>
      <c r="F42" s="2"/>
      <c r="G42" s="2"/>
      <c r="H42" s="2">
        <f t="shared" si="0"/>
        <v>-8.9177379057287318</v>
      </c>
      <c r="I42" s="2">
        <f t="shared" si="1"/>
        <v>-8.0295672763062971</v>
      </c>
      <c r="J42" s="2">
        <v>38</v>
      </c>
      <c r="K42" s="2"/>
      <c r="L42" s="2">
        <f t="shared" ref="L42" si="118">SIN(RADIANS(N42*6))*11.5</f>
        <v>10.50577276288991</v>
      </c>
      <c r="M42" s="2">
        <f t="shared" ref="M42" si="119">COS(RADIANS(N42*6))*11.5</f>
        <v>-4.6774713953717031</v>
      </c>
      <c r="N42" s="2">
        <v>19</v>
      </c>
      <c r="O42" s="2"/>
      <c r="P42" s="2"/>
      <c r="Q42" s="2"/>
      <c r="R42" s="2"/>
      <c r="S42" s="2"/>
      <c r="T42" s="2"/>
      <c r="U42" s="2"/>
      <c r="V42" s="2"/>
      <c r="W42" s="1"/>
      <c r="X42" s="1"/>
      <c r="Y42" s="1"/>
    </row>
    <row r="43" spans="1:25" x14ac:dyDescent="0.25">
      <c r="A43" s="2"/>
      <c r="B43" s="2"/>
      <c r="C43" s="2"/>
      <c r="D43" s="2"/>
      <c r="E43" s="2"/>
      <c r="F43" s="2"/>
      <c r="G43" s="2"/>
      <c r="H43" s="2">
        <f t="shared" si="0"/>
        <v>-9.7082039324993676</v>
      </c>
      <c r="I43" s="2">
        <f t="shared" si="1"/>
        <v>-7.0534230275096785</v>
      </c>
      <c r="J43" s="2">
        <v>39</v>
      </c>
      <c r="K43" s="2"/>
      <c r="L43" s="2">
        <f t="shared" ref="L43" si="120">SIN(RADIANS(N42*6))*12</f>
        <v>10.962545491711211</v>
      </c>
      <c r="M43" s="2">
        <f t="shared" ref="M43" si="121">COS(RADIANS(N42*6))*12</f>
        <v>-4.8808397169096036</v>
      </c>
      <c r="N43" s="2">
        <v>19.5</v>
      </c>
      <c r="O43" s="2"/>
      <c r="P43" s="2"/>
      <c r="Q43" s="2"/>
      <c r="R43" s="2"/>
      <c r="S43" s="2"/>
      <c r="T43" s="2"/>
      <c r="U43" s="2"/>
      <c r="V43" s="2"/>
      <c r="W43" s="1"/>
      <c r="X43" s="1"/>
      <c r="Y43" s="1"/>
    </row>
    <row r="44" spans="1:25" x14ac:dyDescent="0.25">
      <c r="A44" s="2"/>
      <c r="B44" s="2"/>
      <c r="C44" s="2"/>
      <c r="D44" s="2"/>
      <c r="E44" s="2"/>
      <c r="F44" s="2"/>
      <c r="G44" s="2"/>
      <c r="H44" s="2">
        <f t="shared" si="0"/>
        <v>-10.39230484541326</v>
      </c>
      <c r="I44" s="2">
        <f t="shared" si="1"/>
        <v>-6.0000000000000053</v>
      </c>
      <c r="J44" s="2">
        <v>40</v>
      </c>
      <c r="K44" s="2"/>
      <c r="L44" s="2">
        <f t="shared" ref="L44" si="122">SIN(RADIANS(N44*6))*11.5</f>
        <v>9.9592921435210453</v>
      </c>
      <c r="M44" s="2">
        <f t="shared" ref="M44" si="123">COS(RADIANS(N44*6))*11.5</f>
        <v>-5.7499999999999973</v>
      </c>
      <c r="N44" s="2">
        <v>20</v>
      </c>
      <c r="O44" s="2"/>
      <c r="P44" s="2"/>
      <c r="Q44" s="2"/>
      <c r="R44" s="2"/>
      <c r="S44" s="2"/>
      <c r="T44" s="2"/>
      <c r="U44" s="2"/>
      <c r="V44" s="2"/>
      <c r="W44" s="1"/>
      <c r="X44" s="1"/>
      <c r="Y44" s="1"/>
    </row>
    <row r="45" spans="1:25" x14ac:dyDescent="0.25">
      <c r="A45" s="2"/>
      <c r="B45" s="2"/>
      <c r="C45" s="2"/>
      <c r="D45" s="2"/>
      <c r="E45" s="2"/>
      <c r="F45" s="2"/>
      <c r="G45" s="2"/>
      <c r="H45" s="2">
        <f t="shared" si="0"/>
        <v>-10.962545491711211</v>
      </c>
      <c r="I45" s="2">
        <f t="shared" si="1"/>
        <v>-4.8808397169096009</v>
      </c>
      <c r="J45" s="2">
        <v>41</v>
      </c>
      <c r="K45" s="2"/>
      <c r="L45" s="2">
        <f t="shared" ref="L45" si="124">SIN(RADIANS(N44*6))*12</f>
        <v>10.392304845413264</v>
      </c>
      <c r="M45" s="2">
        <f t="shared" ref="M45" si="125">COS(RADIANS(N44*6))*12</f>
        <v>-5.9999999999999973</v>
      </c>
      <c r="N45" s="2">
        <v>20.5</v>
      </c>
      <c r="O45" s="2"/>
      <c r="P45" s="2"/>
      <c r="Q45" s="2"/>
      <c r="R45" s="2"/>
      <c r="S45" s="2"/>
      <c r="T45" s="2"/>
      <c r="U45" s="2"/>
      <c r="V45" s="2"/>
      <c r="W45" s="1"/>
      <c r="X45" s="1"/>
      <c r="Y45" s="1"/>
    </row>
    <row r="46" spans="1:25" x14ac:dyDescent="0.25">
      <c r="A46" s="2"/>
      <c r="B46" s="2"/>
      <c r="C46" s="2"/>
      <c r="D46" s="2"/>
      <c r="E46" s="2"/>
      <c r="F46" s="2"/>
      <c r="G46" s="2"/>
      <c r="H46" s="2">
        <f t="shared" si="0"/>
        <v>-11.412678195541842</v>
      </c>
      <c r="I46" s="2">
        <f t="shared" si="1"/>
        <v>-3.7082039324993707</v>
      </c>
      <c r="J46" s="2">
        <v>42</v>
      </c>
      <c r="K46" s="2"/>
      <c r="L46" s="2">
        <f t="shared" ref="L46" si="126">SIN(RADIANS(N46*6))*11.5</f>
        <v>9.3036954353118961</v>
      </c>
      <c r="M46" s="2">
        <f t="shared" ref="M46" si="127">COS(RADIANS(N46*6))*11.5</f>
        <v>-6.7595304013634401</v>
      </c>
      <c r="N46" s="2">
        <v>21</v>
      </c>
      <c r="O46" s="2"/>
      <c r="P46" s="2"/>
      <c r="Q46" s="2"/>
      <c r="R46" s="2"/>
      <c r="S46" s="2"/>
      <c r="T46" s="2"/>
      <c r="U46" s="2"/>
      <c r="V46" s="2"/>
      <c r="W46" s="1"/>
      <c r="X46" s="1"/>
      <c r="Y46" s="1"/>
    </row>
    <row r="47" spans="1:25" x14ac:dyDescent="0.25">
      <c r="A47" s="2"/>
      <c r="B47" s="2"/>
      <c r="C47" s="2"/>
      <c r="D47" s="2"/>
      <c r="E47" s="2"/>
      <c r="F47" s="2"/>
      <c r="G47" s="2"/>
      <c r="H47" s="2">
        <f t="shared" si="0"/>
        <v>-11.737771208805666</v>
      </c>
      <c r="I47" s="2">
        <f t="shared" si="1"/>
        <v>-2.4949402898131172</v>
      </c>
      <c r="J47" s="2">
        <v>43</v>
      </c>
      <c r="K47" s="2"/>
      <c r="L47" s="2">
        <f t="shared" ref="L47" si="128">SIN(RADIANS(N46*6))*12</f>
        <v>9.7082039324993694</v>
      </c>
      <c r="M47" s="2">
        <f t="shared" ref="M47" si="129">COS(RADIANS(N46*6))*12</f>
        <v>-7.0534230275096768</v>
      </c>
      <c r="N47" s="2">
        <v>21.5</v>
      </c>
      <c r="O47" s="2"/>
      <c r="P47" s="2"/>
      <c r="Q47" s="2"/>
      <c r="R47" s="2"/>
      <c r="S47" s="2"/>
      <c r="T47" s="2"/>
      <c r="U47" s="2"/>
      <c r="V47" s="2"/>
      <c r="W47" s="1"/>
      <c r="X47" s="1"/>
      <c r="Y47" s="1"/>
    </row>
    <row r="48" spans="1:25" x14ac:dyDescent="0.25">
      <c r="A48" s="2"/>
      <c r="B48" s="2"/>
      <c r="C48" s="2"/>
      <c r="D48" s="2"/>
      <c r="E48" s="2"/>
      <c r="F48" s="2"/>
      <c r="G48" s="2"/>
      <c r="H48" s="2">
        <f t="shared" si="0"/>
        <v>-11.93426274441928</v>
      </c>
      <c r="I48" s="2">
        <f t="shared" si="1"/>
        <v>-1.2543415592118403</v>
      </c>
      <c r="J48" s="2">
        <v>44</v>
      </c>
      <c r="K48" s="2"/>
      <c r="L48" s="2">
        <f t="shared" ref="L48" si="130">SIN(RADIANS(N48*6))*11.5</f>
        <v>8.546165492990033</v>
      </c>
      <c r="M48" s="2">
        <f t="shared" ref="M48" si="131">COS(RADIANS(N48*6))*11.5</f>
        <v>-7.6950019731268693</v>
      </c>
      <c r="N48" s="2">
        <v>22</v>
      </c>
      <c r="O48" s="2"/>
      <c r="P48" s="2"/>
      <c r="Q48" s="2"/>
      <c r="R48" s="2"/>
      <c r="S48" s="2"/>
      <c r="T48" s="2"/>
      <c r="U48" s="2"/>
      <c r="V48" s="2"/>
      <c r="W48" s="1"/>
      <c r="X48" s="1"/>
      <c r="Y48" s="1"/>
    </row>
    <row r="49" spans="1:25" x14ac:dyDescent="0.25">
      <c r="A49" s="2"/>
      <c r="B49" s="2"/>
      <c r="C49" s="2"/>
      <c r="D49" s="2"/>
      <c r="E49" s="2"/>
      <c r="F49" s="2"/>
      <c r="G49" s="2"/>
      <c r="H49" s="2">
        <f t="shared" si="0"/>
        <v>-12</v>
      </c>
      <c r="I49" s="2">
        <f t="shared" si="1"/>
        <v>-2.205267218835516E-15</v>
      </c>
      <c r="J49" s="2">
        <v>45</v>
      </c>
      <c r="K49" s="2"/>
      <c r="L49" s="2">
        <f t="shared" ref="L49" si="132">SIN(RADIANS(N48*6))*12</f>
        <v>8.9177379057287318</v>
      </c>
      <c r="M49" s="2">
        <f t="shared" ref="M49" si="133">COS(RADIANS(N48*6))*12</f>
        <v>-8.0295672763062989</v>
      </c>
      <c r="N49" s="2">
        <v>22.5</v>
      </c>
      <c r="O49" s="2"/>
      <c r="P49" s="2"/>
      <c r="Q49" s="2"/>
      <c r="R49" s="2"/>
      <c r="S49" s="2"/>
      <c r="T49" s="2"/>
      <c r="U49" s="2"/>
      <c r="V49" s="2"/>
      <c r="W49" s="1"/>
      <c r="X49" s="1"/>
      <c r="Y49" s="1"/>
    </row>
    <row r="50" spans="1:25" x14ac:dyDescent="0.25">
      <c r="A50" s="2"/>
      <c r="B50" s="2"/>
      <c r="C50" s="2"/>
      <c r="D50" s="2"/>
      <c r="E50" s="2"/>
      <c r="F50" s="2"/>
      <c r="G50" s="2"/>
      <c r="H50" s="2">
        <f t="shared" si="0"/>
        <v>-11.93426274441928</v>
      </c>
      <c r="I50" s="2">
        <f t="shared" si="1"/>
        <v>1.2543415592118359</v>
      </c>
      <c r="J50" s="2">
        <v>46</v>
      </c>
      <c r="K50" s="2"/>
      <c r="L50" s="2">
        <f t="shared" ref="L50" si="134">SIN(RADIANS(N50*6))*11.5</f>
        <v>7.6950019731268711</v>
      </c>
      <c r="M50" s="2">
        <f t="shared" ref="M50" si="135">COS(RADIANS(N50*6))*11.5</f>
        <v>-8.5461654929900313</v>
      </c>
      <c r="N50" s="2">
        <v>23</v>
      </c>
      <c r="O50" s="2"/>
      <c r="P50" s="2"/>
      <c r="Q50" s="2"/>
      <c r="R50" s="2"/>
      <c r="S50" s="2"/>
      <c r="T50" s="2"/>
      <c r="U50" s="2"/>
      <c r="V50" s="2"/>
      <c r="W50" s="1"/>
      <c r="X50" s="1"/>
      <c r="Y50" s="1"/>
    </row>
    <row r="51" spans="1:25" x14ac:dyDescent="0.25">
      <c r="A51" s="2"/>
      <c r="B51" s="2"/>
      <c r="C51" s="2"/>
      <c r="D51" s="2"/>
      <c r="E51" s="2"/>
      <c r="F51" s="2"/>
      <c r="G51" s="2"/>
      <c r="H51" s="2">
        <f t="shared" si="0"/>
        <v>-11.737771208805666</v>
      </c>
      <c r="I51" s="2">
        <f t="shared" si="1"/>
        <v>2.4949402898131132</v>
      </c>
      <c r="J51" s="2">
        <v>47</v>
      </c>
      <c r="K51" s="2"/>
      <c r="L51" s="2">
        <f t="shared" ref="L51" si="136">SIN(RADIANS(N50*6))*12</f>
        <v>8.0295672763063006</v>
      </c>
      <c r="M51" s="2">
        <f t="shared" ref="M51" si="137">COS(RADIANS(N50*6))*12</f>
        <v>-8.9177379057287283</v>
      </c>
      <c r="N51" s="2">
        <v>23.5</v>
      </c>
      <c r="O51" s="2"/>
      <c r="P51" s="2"/>
      <c r="Q51" s="2"/>
      <c r="R51" s="2"/>
      <c r="S51" s="2"/>
      <c r="T51" s="2"/>
      <c r="U51" s="2"/>
      <c r="V51" s="2"/>
      <c r="W51" s="1"/>
      <c r="X51" s="1"/>
      <c r="Y51" s="1"/>
    </row>
    <row r="52" spans="1:25" x14ac:dyDescent="0.25">
      <c r="A52" s="2"/>
      <c r="B52" s="2"/>
      <c r="C52" s="2"/>
      <c r="D52" s="2"/>
      <c r="E52" s="2"/>
      <c r="F52" s="2"/>
      <c r="G52" s="2"/>
      <c r="H52" s="2">
        <f t="shared" si="0"/>
        <v>-11.412678195541844</v>
      </c>
      <c r="I52" s="2">
        <f t="shared" si="1"/>
        <v>3.7082039324993668</v>
      </c>
      <c r="J52" s="2">
        <v>48</v>
      </c>
      <c r="K52" s="2"/>
      <c r="L52" s="2">
        <f t="shared" ref="L52" si="138">SIN(RADIANS(N52*6))*11.5</f>
        <v>6.7595304013634427</v>
      </c>
      <c r="M52" s="2">
        <f t="shared" ref="M52" si="139">COS(RADIANS(N52*6))*11.5</f>
        <v>-9.3036954353118944</v>
      </c>
      <c r="N52" s="2">
        <v>24</v>
      </c>
      <c r="O52" s="2"/>
      <c r="P52" s="2"/>
      <c r="Q52" s="2"/>
      <c r="R52" s="2"/>
      <c r="S52" s="2"/>
      <c r="T52" s="2"/>
      <c r="U52" s="2"/>
      <c r="V52" s="2"/>
      <c r="W52" s="1"/>
      <c r="X52" s="1"/>
      <c r="Y52" s="1"/>
    </row>
    <row r="53" spans="1:25" x14ac:dyDescent="0.25">
      <c r="A53" s="2"/>
      <c r="B53" s="2"/>
      <c r="C53" s="2"/>
      <c r="D53" s="2"/>
      <c r="E53" s="2"/>
      <c r="F53" s="2"/>
      <c r="G53" s="2"/>
      <c r="H53" s="2">
        <f t="shared" si="0"/>
        <v>-10.962545491711213</v>
      </c>
      <c r="I53" s="2">
        <f t="shared" si="1"/>
        <v>4.8808397169095974</v>
      </c>
      <c r="J53" s="2">
        <v>49</v>
      </c>
      <c r="K53" s="2"/>
      <c r="L53" s="2">
        <f t="shared" ref="L53" si="140">SIN(RADIANS(N52*6))*12</f>
        <v>7.0534230275096785</v>
      </c>
      <c r="M53" s="2">
        <f t="shared" ref="M53" si="141">COS(RADIANS(N52*6))*12</f>
        <v>-9.7082039324993676</v>
      </c>
      <c r="N53" s="2">
        <v>24.5</v>
      </c>
      <c r="O53" s="2"/>
      <c r="P53" s="2"/>
      <c r="Q53" s="2"/>
      <c r="R53" s="2"/>
      <c r="S53" s="2"/>
      <c r="T53" s="2"/>
      <c r="U53" s="2"/>
      <c r="V53" s="2"/>
      <c r="W53" s="1"/>
      <c r="X53" s="1"/>
      <c r="Y53" s="1"/>
    </row>
    <row r="54" spans="1:25" x14ac:dyDescent="0.25">
      <c r="A54" s="2"/>
      <c r="B54" s="2"/>
      <c r="C54" s="2"/>
      <c r="D54" s="2"/>
      <c r="E54" s="2"/>
      <c r="F54" s="2"/>
      <c r="G54" s="2"/>
      <c r="H54" s="2">
        <f t="shared" si="0"/>
        <v>-10.392304845413264</v>
      </c>
      <c r="I54" s="2">
        <f t="shared" si="1"/>
        <v>6.0000000000000018</v>
      </c>
      <c r="J54" s="2">
        <v>50</v>
      </c>
      <c r="K54" s="2"/>
      <c r="L54" s="2">
        <f t="shared" ref="L54" si="142">SIN(RADIANS(N54*6))*11.5</f>
        <v>5.7499999999999991</v>
      </c>
      <c r="M54" s="2">
        <f t="shared" ref="M54" si="143">COS(RADIANS(N54*6))*11.5</f>
        <v>-9.9592921435210453</v>
      </c>
      <c r="N54" s="2">
        <v>25</v>
      </c>
      <c r="O54" s="2"/>
      <c r="P54" s="2"/>
      <c r="Q54" s="2"/>
      <c r="R54" s="2"/>
      <c r="S54" s="2"/>
      <c r="T54" s="2"/>
      <c r="U54" s="2"/>
      <c r="V54" s="2"/>
      <c r="W54" s="1"/>
      <c r="X54" s="1"/>
      <c r="Y54" s="1"/>
    </row>
    <row r="55" spans="1:25" x14ac:dyDescent="0.25">
      <c r="A55" s="2"/>
      <c r="B55" s="2"/>
      <c r="C55" s="2"/>
      <c r="D55" s="2"/>
      <c r="E55" s="2"/>
      <c r="F55" s="2"/>
      <c r="G55" s="2"/>
      <c r="H55" s="2">
        <f t="shared" si="0"/>
        <v>-9.7082039324993712</v>
      </c>
      <c r="I55" s="2">
        <f t="shared" si="1"/>
        <v>7.053423027509675</v>
      </c>
      <c r="J55" s="2">
        <v>51</v>
      </c>
      <c r="K55" s="2"/>
      <c r="L55" s="2">
        <f t="shared" ref="L55" si="144">SIN(RADIANS(N54*6))*12</f>
        <v>5.9999999999999991</v>
      </c>
      <c r="M55" s="2">
        <f t="shared" ref="M55" si="145">COS(RADIANS(N54*6))*12</f>
        <v>-10.392304845413264</v>
      </c>
      <c r="N55" s="2">
        <v>25.5</v>
      </c>
      <c r="O55" s="2"/>
      <c r="P55" s="2"/>
      <c r="Q55" s="2"/>
      <c r="R55" s="2"/>
      <c r="S55" s="2"/>
      <c r="T55" s="2"/>
      <c r="U55" s="2"/>
      <c r="V55" s="2"/>
      <c r="W55" s="1"/>
      <c r="X55" s="1"/>
      <c r="Y55" s="1"/>
    </row>
    <row r="56" spans="1:25" x14ac:dyDescent="0.25">
      <c r="A56" s="2"/>
      <c r="B56" s="2"/>
      <c r="C56" s="2"/>
      <c r="D56" s="2"/>
      <c r="E56" s="2"/>
      <c r="F56" s="2"/>
      <c r="G56" s="2"/>
      <c r="H56" s="2">
        <f t="shared" si="0"/>
        <v>-8.9177379057287354</v>
      </c>
      <c r="I56" s="2">
        <f t="shared" si="1"/>
        <v>8.0295672763062935</v>
      </c>
      <c r="J56" s="2">
        <v>52</v>
      </c>
      <c r="K56" s="2"/>
      <c r="L56" s="2">
        <f t="shared" ref="L56" si="146">SIN(RADIANS(N56*6))*11.5</f>
        <v>4.6774713953717049</v>
      </c>
      <c r="M56" s="2">
        <f t="shared" ref="M56" si="147">COS(RADIANS(N56*6))*11.5</f>
        <v>-10.505772762889908</v>
      </c>
      <c r="N56" s="2">
        <v>26</v>
      </c>
      <c r="O56" s="2"/>
      <c r="P56" s="2"/>
      <c r="Q56" s="2"/>
      <c r="R56" s="2"/>
      <c r="S56" s="2"/>
      <c r="T56" s="2"/>
      <c r="U56" s="2"/>
      <c r="V56" s="2"/>
      <c r="W56" s="1"/>
      <c r="X56" s="1"/>
      <c r="Y56" s="1"/>
    </row>
    <row r="57" spans="1:25" x14ac:dyDescent="0.25">
      <c r="A57" s="2"/>
      <c r="B57" s="2"/>
      <c r="C57" s="2"/>
      <c r="D57" s="2"/>
      <c r="E57" s="2"/>
      <c r="F57" s="2"/>
      <c r="G57" s="2"/>
      <c r="H57" s="2">
        <f t="shared" si="0"/>
        <v>-8.0295672763062971</v>
      </c>
      <c r="I57" s="2">
        <f t="shared" si="1"/>
        <v>8.9177379057287318</v>
      </c>
      <c r="J57" s="2">
        <v>53</v>
      </c>
      <c r="K57" s="2"/>
      <c r="L57" s="2">
        <f t="shared" ref="L57" si="148">SIN(RADIANS(N56*6))*12</f>
        <v>4.8808397169096054</v>
      </c>
      <c r="M57" s="2">
        <f t="shared" ref="M57" si="149">COS(RADIANS(N56*6))*12</f>
        <v>-10.962545491711209</v>
      </c>
      <c r="N57" s="2">
        <v>26.5</v>
      </c>
      <c r="O57" s="2"/>
      <c r="P57" s="2"/>
      <c r="Q57" s="2"/>
      <c r="R57" s="2"/>
      <c r="S57" s="2"/>
      <c r="T57" s="2"/>
      <c r="U57" s="2"/>
      <c r="V57" s="2"/>
      <c r="W57" s="1"/>
      <c r="X57" s="1"/>
      <c r="Y57" s="1"/>
    </row>
    <row r="58" spans="1:25" x14ac:dyDescent="0.25">
      <c r="A58" s="2"/>
      <c r="B58" s="2"/>
      <c r="C58" s="2"/>
      <c r="D58" s="2"/>
      <c r="E58" s="2"/>
      <c r="F58" s="2"/>
      <c r="G58" s="2"/>
      <c r="H58" s="2">
        <f t="shared" si="0"/>
        <v>-7.0534230275096803</v>
      </c>
      <c r="I58" s="2">
        <f t="shared" si="1"/>
        <v>9.7082039324993676</v>
      </c>
      <c r="J58" s="2">
        <v>54</v>
      </c>
      <c r="K58" s="2"/>
      <c r="L58" s="2">
        <f t="shared" ref="L58" si="150">SIN(RADIANS(N58*6))*11.5</f>
        <v>3.5536954353118961</v>
      </c>
      <c r="M58" s="2">
        <f t="shared" ref="M58" si="151">COS(RADIANS(N58*6))*11.5</f>
        <v>-10.937149937394265</v>
      </c>
      <c r="N58" s="2">
        <v>27</v>
      </c>
      <c r="O58" s="2"/>
      <c r="P58" s="2"/>
      <c r="Q58" s="2"/>
      <c r="R58" s="2"/>
      <c r="S58" s="2"/>
      <c r="T58" s="2"/>
      <c r="U58" s="2"/>
      <c r="V58" s="2"/>
      <c r="W58" s="1"/>
      <c r="X58" s="1"/>
      <c r="Y58" s="1"/>
    </row>
    <row r="59" spans="1:25" x14ac:dyDescent="0.25">
      <c r="A59" s="2"/>
      <c r="B59" s="2"/>
      <c r="C59" s="2"/>
      <c r="D59" s="2"/>
      <c r="E59" s="2"/>
      <c r="F59" s="2"/>
      <c r="G59" s="2"/>
      <c r="H59" s="2">
        <f t="shared" si="0"/>
        <v>-6.0000000000000053</v>
      </c>
      <c r="I59" s="2">
        <f t="shared" si="1"/>
        <v>10.39230484541326</v>
      </c>
      <c r="J59" s="2">
        <v>55</v>
      </c>
      <c r="K59" s="2"/>
      <c r="L59" s="2">
        <f t="shared" ref="L59" si="152">SIN(RADIANS(N58*6))*12</f>
        <v>3.7082039324993703</v>
      </c>
      <c r="M59" s="2">
        <f t="shared" ref="M59" si="153">COS(RADIANS(N58*6))*12</f>
        <v>-11.412678195541842</v>
      </c>
      <c r="N59" s="2">
        <v>27.5</v>
      </c>
      <c r="O59" s="2"/>
      <c r="P59" s="2"/>
      <c r="Q59" s="2"/>
      <c r="R59" s="2"/>
      <c r="S59" s="2"/>
      <c r="T59" s="2"/>
      <c r="U59" s="2"/>
      <c r="V59" s="2"/>
      <c r="W59" s="1"/>
      <c r="X59" s="1"/>
      <c r="Y59" s="1"/>
    </row>
    <row r="60" spans="1:25" x14ac:dyDescent="0.25">
      <c r="A60" s="2"/>
      <c r="B60" s="2"/>
      <c r="C60" s="2"/>
      <c r="D60" s="2"/>
      <c r="E60" s="2"/>
      <c r="F60" s="2"/>
      <c r="G60" s="2"/>
      <c r="H60" s="2">
        <f t="shared" si="0"/>
        <v>-4.8808397169096018</v>
      </c>
      <c r="I60" s="2">
        <f t="shared" si="1"/>
        <v>10.962545491711211</v>
      </c>
      <c r="J60" s="2">
        <v>56</v>
      </c>
      <c r="K60" s="2"/>
      <c r="L60" s="2">
        <f t="shared" ref="L60" si="154">SIN(RADIANS(N60*6))*11.5</f>
        <v>2.3909844444042321</v>
      </c>
      <c r="M60" s="2">
        <f t="shared" ref="M60" si="155">COS(RADIANS(N60*6))*11.5</f>
        <v>-11.248697408438765</v>
      </c>
      <c r="N60" s="2">
        <v>28</v>
      </c>
      <c r="O60" s="2"/>
      <c r="P60" s="2"/>
      <c r="Q60" s="2"/>
      <c r="R60" s="2"/>
      <c r="S60" s="2"/>
      <c r="T60" s="2"/>
      <c r="U60" s="2"/>
      <c r="V60" s="2"/>
      <c r="W60" s="1"/>
      <c r="X60" s="1"/>
      <c r="Y60" s="1"/>
    </row>
    <row r="61" spans="1:25" x14ac:dyDescent="0.25">
      <c r="A61" s="2"/>
      <c r="B61" s="2"/>
      <c r="C61" s="2"/>
      <c r="D61" s="2"/>
      <c r="E61" s="2"/>
      <c r="F61" s="2"/>
      <c r="G61" s="2"/>
      <c r="H61" s="2">
        <f t="shared" si="0"/>
        <v>-3.7082039324993712</v>
      </c>
      <c r="I61" s="2">
        <f t="shared" si="1"/>
        <v>11.412678195541842</v>
      </c>
      <c r="J61" s="2">
        <v>57</v>
      </c>
      <c r="K61" s="2"/>
      <c r="L61" s="2">
        <f t="shared" ref="L61" si="156">SIN(RADIANS(N60*6))*12</f>
        <v>2.4949402898131119</v>
      </c>
      <c r="M61" s="2">
        <f t="shared" ref="M61" si="157">COS(RADIANS(N60*6))*12</f>
        <v>-11.737771208805668</v>
      </c>
      <c r="N61" s="2">
        <v>28.5</v>
      </c>
      <c r="O61" s="2"/>
      <c r="P61" s="2"/>
      <c r="Q61" s="2"/>
      <c r="R61" s="2"/>
      <c r="S61" s="2"/>
      <c r="T61" s="2"/>
      <c r="U61" s="2"/>
      <c r="V61" s="2"/>
      <c r="W61" s="1"/>
      <c r="X61" s="1"/>
      <c r="Y61" s="1"/>
    </row>
    <row r="62" spans="1:25" x14ac:dyDescent="0.25">
      <c r="A62" s="2"/>
      <c r="B62" s="2"/>
      <c r="C62" s="2"/>
      <c r="D62" s="2"/>
      <c r="E62" s="2"/>
      <c r="F62" s="2"/>
      <c r="G62" s="2"/>
      <c r="H62" s="2">
        <f t="shared" si="0"/>
        <v>-2.4949402898131186</v>
      </c>
      <c r="I62" s="2">
        <f t="shared" si="1"/>
        <v>11.737771208805666</v>
      </c>
      <c r="J62" s="2">
        <v>58</v>
      </c>
      <c r="K62" s="2"/>
      <c r="L62" s="2">
        <f t="shared" ref="L62" si="158">SIN(RADIANS(N62*6))*11.5</f>
        <v>1.2020773275780179</v>
      </c>
      <c r="M62" s="2">
        <f t="shared" ref="M62" si="159">COS(RADIANS(N62*6))*11.5</f>
        <v>-11.437001796735142</v>
      </c>
      <c r="N62" s="2">
        <v>29</v>
      </c>
      <c r="O62" s="2"/>
      <c r="P62" s="2"/>
      <c r="Q62" s="2"/>
      <c r="R62" s="2"/>
      <c r="S62" s="2"/>
      <c r="T62" s="2"/>
      <c r="U62" s="2"/>
      <c r="V62" s="2"/>
      <c r="W62" s="1"/>
      <c r="X62" s="1"/>
      <c r="Y62" s="1"/>
    </row>
    <row r="63" spans="1:25" x14ac:dyDescent="0.25">
      <c r="A63" s="2"/>
      <c r="B63" s="2"/>
      <c r="C63" s="2"/>
      <c r="D63" s="2"/>
      <c r="E63" s="2"/>
      <c r="F63" s="2"/>
      <c r="G63" s="2"/>
      <c r="H63" s="2">
        <f t="shared" si="0"/>
        <v>-1.254341559211841</v>
      </c>
      <c r="I63" s="2">
        <f t="shared" si="1"/>
        <v>11.934262744419279</v>
      </c>
      <c r="J63" s="2">
        <v>59</v>
      </c>
      <c r="K63" s="2"/>
      <c r="L63" s="2">
        <f t="shared" ref="L63" si="160">SIN(RADIANS(N62*6))*12</f>
        <v>1.2543415592118448</v>
      </c>
      <c r="M63" s="2">
        <f t="shared" ref="M63" si="161">COS(RADIANS(N62*6))*12</f>
        <v>-11.934262744419279</v>
      </c>
      <c r="N63" s="2">
        <v>29.5</v>
      </c>
      <c r="O63" s="2"/>
      <c r="P63" s="2"/>
      <c r="Q63" s="2"/>
      <c r="R63" s="2"/>
      <c r="S63" s="2"/>
      <c r="T63" s="2"/>
      <c r="U63" s="2"/>
      <c r="V63" s="2"/>
      <c r="W63" s="1"/>
      <c r="X63" s="1"/>
      <c r="Y63" s="1"/>
    </row>
    <row r="64" spans="1:25" x14ac:dyDescent="0.25">
      <c r="A64" s="2"/>
      <c r="B64" s="2"/>
      <c r="C64" s="2"/>
      <c r="D64" s="2"/>
      <c r="E64" s="2"/>
      <c r="F64" s="2"/>
      <c r="G64" s="2"/>
      <c r="H64" s="2">
        <f t="shared" si="0"/>
        <v>-2.940356291780688E-15</v>
      </c>
      <c r="I64" s="2">
        <f t="shared" si="1"/>
        <v>12</v>
      </c>
      <c r="J64" s="2">
        <v>60</v>
      </c>
      <c r="K64" s="2"/>
      <c r="L64" s="2">
        <f t="shared" ref="L64" si="162">SIN(RADIANS(N64*6))*11.5</f>
        <v>1.408920723144913E-15</v>
      </c>
      <c r="M64" s="2">
        <f t="shared" ref="M64" si="163">COS(RADIANS(N64*6))*11.5</f>
        <v>-11.5</v>
      </c>
      <c r="N64" s="2">
        <v>30</v>
      </c>
      <c r="O64" s="2"/>
      <c r="P64" s="2"/>
      <c r="Q64" s="2"/>
      <c r="R64" s="2"/>
      <c r="S64" s="2"/>
      <c r="T64" s="2"/>
      <c r="U64" s="2"/>
      <c r="V64" s="2"/>
      <c r="W64" s="1"/>
      <c r="X64" s="1"/>
      <c r="Y64" s="1"/>
    </row>
    <row r="65" spans="1:2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>
        <f t="shared" ref="L65" si="164">SIN(RADIANS(N64*6))*12</f>
        <v>1.470178145890344E-15</v>
      </c>
      <c r="M65" s="2">
        <f t="shared" ref="M65" si="165">COS(RADIANS(N64*6))*12</f>
        <v>-12</v>
      </c>
      <c r="N65" s="2">
        <v>30.5</v>
      </c>
      <c r="O65" s="2"/>
      <c r="P65" s="2"/>
      <c r="Q65" s="2"/>
      <c r="R65" s="2"/>
      <c r="S65" s="2"/>
      <c r="T65" s="2"/>
      <c r="U65" s="2"/>
      <c r="V65" s="2"/>
      <c r="W65" s="1"/>
      <c r="X65" s="1"/>
      <c r="Y65" s="1"/>
    </row>
    <row r="66" spans="1:2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">
        <f t="shared" ref="L66" si="166">SIN(RADIANS(N66*6))*11.5</f>
        <v>-1.2020773275780152</v>
      </c>
      <c r="M66" s="2">
        <f t="shared" ref="M66" si="167">COS(RADIANS(N66*6))*11.5</f>
        <v>-11.437001796735142</v>
      </c>
      <c r="N66" s="2">
        <v>31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">
        <f t="shared" ref="L67" si="168">SIN(RADIANS(N66*6))*12</f>
        <v>-1.2543415592118419</v>
      </c>
      <c r="M67" s="2">
        <f t="shared" ref="M67" si="169">COS(RADIANS(N66*6))*12</f>
        <v>-11.934262744419279</v>
      </c>
      <c r="N67" s="2">
        <v>31.5</v>
      </c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">
        <f t="shared" ref="L68" si="170">SIN(RADIANS(N68*6))*11.5</f>
        <v>-2.3909844444042343</v>
      </c>
      <c r="M68" s="2">
        <f t="shared" ref="M68" si="171">COS(RADIANS(N68*6))*11.5</f>
        <v>-11.248697408438764</v>
      </c>
      <c r="N68" s="2">
        <v>32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25">
      <c r="B69">
        <f t="shared" ref="B69:G69" ca="1" si="172">MOD(B82,$H$69)</f>
        <v>0</v>
      </c>
      <c r="C69">
        <f t="shared" ca="1" si="172"/>
        <v>0</v>
      </c>
      <c r="D69">
        <f t="shared" ca="1" si="172"/>
        <v>1</v>
      </c>
      <c r="E69">
        <f t="shared" ca="1" si="172"/>
        <v>0</v>
      </c>
      <c r="F69">
        <f t="shared" ca="1" si="172"/>
        <v>0</v>
      </c>
      <c r="G69">
        <f t="shared" ca="1" si="172"/>
        <v>0</v>
      </c>
      <c r="H69">
        <v>2</v>
      </c>
      <c r="I69" s="1"/>
      <c r="J69" s="1"/>
      <c r="K69" s="1"/>
      <c r="L69" s="2">
        <f t="shared" ref="L69" si="173">SIN(RADIANS(N68*6))*12</f>
        <v>-2.4949402898131141</v>
      </c>
      <c r="M69" s="2">
        <f t="shared" ref="M69" si="174">COS(RADIANS(N68*6))*12</f>
        <v>-11.737771208805666</v>
      </c>
      <c r="N69" s="2">
        <v>32.5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25">
      <c r="B70">
        <f t="shared" ref="B70:G70" ca="1" si="175">INT(B82/$H$69)</f>
        <v>0</v>
      </c>
      <c r="C70">
        <f t="shared" ca="1" si="175"/>
        <v>2</v>
      </c>
      <c r="D70">
        <f t="shared" ca="1" si="175"/>
        <v>0</v>
      </c>
      <c r="E70">
        <f t="shared" ca="1" si="175"/>
        <v>1</v>
      </c>
      <c r="F70">
        <f t="shared" ca="1" si="175"/>
        <v>2</v>
      </c>
      <c r="G70">
        <f t="shared" ca="1" si="175"/>
        <v>4</v>
      </c>
      <c r="I70" s="1"/>
      <c r="J70" s="1"/>
      <c r="K70" s="1"/>
      <c r="L70" s="2">
        <f t="shared" ref="L70" si="176">SIN(RADIANS(N70*6))*11.5</f>
        <v>-3.5536954353118939</v>
      </c>
      <c r="M70" s="2">
        <f t="shared" ref="M70" si="177">COS(RADIANS(N70*6))*11.5</f>
        <v>-10.937149937394267</v>
      </c>
      <c r="N70" s="2">
        <v>33</v>
      </c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25">
      <c r="B71">
        <f t="shared" ref="B71:G71" ca="1" si="178">MOD(B70,$H$69)</f>
        <v>0</v>
      </c>
      <c r="C71">
        <f t="shared" ca="1" si="178"/>
        <v>0</v>
      </c>
      <c r="D71">
        <f t="shared" ca="1" si="178"/>
        <v>0</v>
      </c>
      <c r="E71">
        <f t="shared" ca="1" si="178"/>
        <v>1</v>
      </c>
      <c r="F71">
        <f t="shared" ca="1" si="178"/>
        <v>0</v>
      </c>
      <c r="G71">
        <f t="shared" ca="1" si="178"/>
        <v>0</v>
      </c>
      <c r="I71" s="1"/>
      <c r="J71" s="1"/>
      <c r="K71" s="1"/>
      <c r="L71" s="2">
        <f t="shared" ref="L71" si="179">SIN(RADIANS(N70*6))*12</f>
        <v>-3.7082039324993676</v>
      </c>
      <c r="M71" s="2">
        <f t="shared" ref="M71" si="180">COS(RADIANS(N70*6))*12</f>
        <v>-11.412678195541844</v>
      </c>
      <c r="N71" s="2">
        <v>33.5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25">
      <c r="B72">
        <f t="shared" ref="B72:G72" ca="1" si="181">INT(B70/$H$69)</f>
        <v>0</v>
      </c>
      <c r="C72">
        <f t="shared" ca="1" si="181"/>
        <v>1</v>
      </c>
      <c r="D72">
        <f t="shared" ca="1" si="181"/>
        <v>0</v>
      </c>
      <c r="E72">
        <f t="shared" ca="1" si="181"/>
        <v>0</v>
      </c>
      <c r="F72">
        <f t="shared" ca="1" si="181"/>
        <v>1</v>
      </c>
      <c r="G72">
        <f t="shared" ca="1" si="181"/>
        <v>2</v>
      </c>
      <c r="I72" s="1"/>
      <c r="J72" s="1"/>
      <c r="K72" s="1"/>
      <c r="L72" s="2">
        <f t="shared" ref="L72" si="182">SIN(RADIANS(N72*6))*11.5</f>
        <v>-4.6774713953717022</v>
      </c>
      <c r="M72" s="2">
        <f t="shared" ref="M72" si="183">COS(RADIANS(N72*6))*11.5</f>
        <v>-10.50577276288991</v>
      </c>
      <c r="N72" s="2">
        <v>34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25">
      <c r="B73">
        <f t="shared" ref="B73:G73" ca="1" si="184">MOD(B72,$H$69)</f>
        <v>0</v>
      </c>
      <c r="C73">
        <f t="shared" ca="1" si="184"/>
        <v>1</v>
      </c>
      <c r="D73">
        <f t="shared" ca="1" si="184"/>
        <v>0</v>
      </c>
      <c r="E73">
        <f t="shared" ca="1" si="184"/>
        <v>0</v>
      </c>
      <c r="F73">
        <f t="shared" ca="1" si="184"/>
        <v>1</v>
      </c>
      <c r="G73">
        <f t="shared" ca="1" si="184"/>
        <v>0</v>
      </c>
      <c r="I73" s="1"/>
      <c r="J73" s="1"/>
      <c r="K73" s="1"/>
      <c r="L73" s="2">
        <f t="shared" ref="L73" si="185">SIN(RADIANS(N72*6))*12</f>
        <v>-4.8808397169096027</v>
      </c>
      <c r="M73" s="2">
        <f t="shared" ref="M73" si="186">COS(RADIANS(N72*6))*12</f>
        <v>-10.962545491711211</v>
      </c>
      <c r="N73" s="2">
        <v>34.5</v>
      </c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25">
      <c r="B74">
        <f t="shared" ref="B74:G74" ca="1" si="187">INT(B72/$H$69)</f>
        <v>0</v>
      </c>
      <c r="C74">
        <f t="shared" ca="1" si="187"/>
        <v>0</v>
      </c>
      <c r="D74">
        <f t="shared" ca="1" si="187"/>
        <v>0</v>
      </c>
      <c r="E74">
        <f t="shared" ca="1" si="187"/>
        <v>0</v>
      </c>
      <c r="F74">
        <f t="shared" ca="1" si="187"/>
        <v>0</v>
      </c>
      <c r="G74">
        <f t="shared" ca="1" si="187"/>
        <v>1</v>
      </c>
      <c r="I74" s="1"/>
      <c r="J74" s="1"/>
      <c r="K74" s="1"/>
      <c r="L74" s="2">
        <f t="shared" ref="L74" si="188">SIN(RADIANS(N74*6))*11.5</f>
        <v>-5.7500000000000009</v>
      </c>
      <c r="M74" s="2">
        <f t="shared" ref="M74" si="189">COS(RADIANS(N74*6))*11.5</f>
        <v>-9.9592921435210435</v>
      </c>
      <c r="N74" s="2">
        <v>35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25">
      <c r="B75">
        <f t="shared" ref="B75:G75" ca="1" si="190">MOD(B74,$H$69)</f>
        <v>0</v>
      </c>
      <c r="C75">
        <f t="shared" ca="1" si="190"/>
        <v>0</v>
      </c>
      <c r="D75">
        <f t="shared" ca="1" si="190"/>
        <v>0</v>
      </c>
      <c r="E75">
        <f t="shared" ca="1" si="190"/>
        <v>0</v>
      </c>
      <c r="F75">
        <f t="shared" ca="1" si="190"/>
        <v>0</v>
      </c>
      <c r="G75">
        <f t="shared" ca="1" si="190"/>
        <v>1</v>
      </c>
      <c r="I75" s="1"/>
      <c r="J75" s="1"/>
      <c r="K75" s="1"/>
      <c r="L75" s="2">
        <f t="shared" ref="L75" si="191">SIN(RADIANS(N74*6))*12</f>
        <v>-6.0000000000000018</v>
      </c>
      <c r="M75" s="2">
        <f t="shared" ref="M75" si="192">COS(RADIANS(N74*6))*12</f>
        <v>-10.392304845413264</v>
      </c>
      <c r="N75" s="2">
        <v>35.5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25">
      <c r="B76">
        <f t="shared" ref="B76:G76" ca="1" si="193">INT(B74/$H$69)</f>
        <v>0</v>
      </c>
      <c r="C76">
        <f t="shared" ca="1" si="193"/>
        <v>0</v>
      </c>
      <c r="D76">
        <f t="shared" ca="1" si="193"/>
        <v>0</v>
      </c>
      <c r="E76">
        <f t="shared" ca="1" si="193"/>
        <v>0</v>
      </c>
      <c r="F76">
        <f t="shared" ca="1" si="193"/>
        <v>0</v>
      </c>
      <c r="G76">
        <f t="shared" ca="1" si="193"/>
        <v>0</v>
      </c>
      <c r="I76" s="1"/>
      <c r="J76" s="1"/>
      <c r="K76" s="1"/>
      <c r="L76" s="2">
        <f t="shared" ref="L76" si="194">SIN(RADIANS(N76*6))*11.5</f>
        <v>-6.7595304013634401</v>
      </c>
      <c r="M76" s="2">
        <f t="shared" ref="M76" si="195">COS(RADIANS(N76*6))*11.5</f>
        <v>-9.3036954353118961</v>
      </c>
      <c r="N76" s="2">
        <v>36</v>
      </c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25">
      <c r="I77" s="1"/>
      <c r="J77" s="1"/>
      <c r="K77" s="1"/>
      <c r="L77" s="2">
        <f t="shared" ref="L77" si="196">SIN(RADIANS(N76*6))*12</f>
        <v>-7.0534230275096768</v>
      </c>
      <c r="M77" s="2">
        <f t="shared" ref="M77" si="197">COS(RADIANS(N76*6))*12</f>
        <v>-9.7082039324993712</v>
      </c>
      <c r="N77" s="2">
        <v>36.5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25">
      <c r="H78">
        <v>8</v>
      </c>
      <c r="I78" s="1"/>
      <c r="J78" s="1"/>
      <c r="K78" s="1"/>
      <c r="L78" s="2">
        <f t="shared" ref="L78" si="198">SIN(RADIANS(N78*6))*11.5</f>
        <v>-7.6950019731268693</v>
      </c>
      <c r="M78" s="2">
        <f t="shared" ref="M78" si="199">COS(RADIANS(N78*6))*11.5</f>
        <v>-8.546165492990033</v>
      </c>
      <c r="N78" s="2">
        <v>37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25">
      <c r="H79">
        <v>4</v>
      </c>
      <c r="I79" s="1"/>
      <c r="J79" s="1"/>
      <c r="K79" s="1"/>
      <c r="L79" s="2">
        <f t="shared" ref="L79" si="200">SIN(RADIANS(N78*6))*12</f>
        <v>-8.0295672763062989</v>
      </c>
      <c r="M79" s="2">
        <f t="shared" ref="M79" si="201">COS(RADIANS(N78*6))*12</f>
        <v>-8.9177379057287318</v>
      </c>
      <c r="N79" s="2">
        <v>37.5</v>
      </c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25">
      <c r="H80">
        <v>2</v>
      </c>
      <c r="I80" s="1"/>
      <c r="J80" s="1"/>
      <c r="K80" s="1"/>
      <c r="L80" s="2">
        <f t="shared" ref="L80" si="202">SIN(RADIANS(N80*6))*11.5</f>
        <v>-8.5461654929900348</v>
      </c>
      <c r="M80" s="2">
        <f t="shared" ref="M80" si="203">COS(RADIANS(N80*6))*11.5</f>
        <v>-7.6950019731268684</v>
      </c>
      <c r="N80" s="2">
        <v>38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25">
      <c r="H81">
        <v>1</v>
      </c>
      <c r="I81" s="1"/>
      <c r="J81" s="1"/>
      <c r="K81" s="1"/>
      <c r="L81" s="2">
        <f t="shared" ref="L81" si="204">SIN(RADIANS(N80*6))*12</f>
        <v>-8.9177379057287318</v>
      </c>
      <c r="M81" s="2">
        <f t="shared" ref="M81" si="205">COS(RADIANS(N80*6))*12</f>
        <v>-8.0295672763062971</v>
      </c>
      <c r="N81" s="2">
        <v>38.5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25">
      <c r="B82">
        <f ca="1">IF(B83&lt;10,0,MID(B83,1,1))</f>
        <v>0</v>
      </c>
      <c r="C82" t="str">
        <f ca="1">IF(B83&lt;10,MID(B83,1,1),MID(B83,2,1))</f>
        <v>4</v>
      </c>
      <c r="D82" t="str">
        <f ca="1">IF(C83&lt;10,0,MID(C83,1,1))</f>
        <v>1</v>
      </c>
      <c r="E82" t="str">
        <f ca="1">IF(C83&lt;10,MID(C83,1,1),MID(C83,2,1))</f>
        <v>2</v>
      </c>
      <c r="F82" t="str">
        <f ca="1">IF(D83&lt;10,0,MID(D83,1,1))</f>
        <v>4</v>
      </c>
      <c r="G82" t="str">
        <f ca="1">IF(D83&lt;10,MID(D83,1,1),MID(D83,2,1))</f>
        <v>8</v>
      </c>
      <c r="I82" s="1"/>
      <c r="J82" s="1"/>
      <c r="K82" s="1"/>
      <c r="L82" s="2">
        <f t="shared" ref="L82" si="206">SIN(RADIANS(N82*6))*11.5</f>
        <v>-9.3036954353118944</v>
      </c>
      <c r="M82" s="2">
        <f t="shared" ref="M82" si="207">COS(RADIANS(N82*6))*11.5</f>
        <v>-6.7595304013634427</v>
      </c>
      <c r="N82" s="2">
        <v>39</v>
      </c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25">
      <c r="B83">
        <f ca="1">HOUR(D1)</f>
        <v>4</v>
      </c>
      <c r="C83">
        <f ca="1">MINUTE(D1)</f>
        <v>12</v>
      </c>
      <c r="D83">
        <f ca="1">SECOND(D1)</f>
        <v>48</v>
      </c>
      <c r="I83" s="1"/>
      <c r="J83" s="1"/>
      <c r="K83" s="1"/>
      <c r="L83" s="2">
        <f t="shared" ref="L83" si="208">SIN(RADIANS(N82*6))*12</f>
        <v>-9.7082039324993676</v>
      </c>
      <c r="M83" s="2">
        <f t="shared" ref="M83" si="209">COS(RADIANS(N82*6))*12</f>
        <v>-7.0534230275096785</v>
      </c>
      <c r="N83" s="2">
        <v>39.5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">
        <f t="shared" ref="L84" si="210">SIN(RADIANS(N84*6))*11.5</f>
        <v>-9.9592921435210418</v>
      </c>
      <c r="M84" s="2">
        <f t="shared" ref="M84" si="211">COS(RADIANS(N84*6))*11.5</f>
        <v>-5.7500000000000053</v>
      </c>
      <c r="N84" s="2">
        <v>40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">
        <f t="shared" ref="L85" si="212">SIN(RADIANS(N84*6))*12</f>
        <v>-10.39230484541326</v>
      </c>
      <c r="M85" s="2">
        <f t="shared" ref="M85" si="213">COS(RADIANS(N84*6))*12</f>
        <v>-6.0000000000000053</v>
      </c>
      <c r="N85" s="2">
        <v>40.5</v>
      </c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2">
        <f t="shared" ref="L86" si="214">SIN(RADIANS(N86*6))*11.5</f>
        <v>-10.505772762889912</v>
      </c>
      <c r="M86" s="2">
        <f t="shared" ref="M86" si="215">COS(RADIANS(N86*6))*11.5</f>
        <v>-4.6774713953717013</v>
      </c>
      <c r="N86" s="2">
        <v>41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">
        <f t="shared" ref="L87" si="216">SIN(RADIANS(N86*6))*12</f>
        <v>-10.962545491711211</v>
      </c>
      <c r="M87" s="2">
        <f t="shared" ref="M87" si="217">COS(RADIANS(N86*6))*12</f>
        <v>-4.8808397169096009</v>
      </c>
      <c r="N87" s="2">
        <v>41.5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">
        <f t="shared" ref="L88" si="218">SIN(RADIANS(N88*6))*11.5</f>
        <v>-10.937149937394265</v>
      </c>
      <c r="M88" s="2">
        <f t="shared" ref="M88" si="219">COS(RADIANS(N88*6))*11.5</f>
        <v>-3.553695435311897</v>
      </c>
      <c r="N88" s="2">
        <v>42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2">
        <f t="shared" ref="L89" si="220">SIN(RADIANS(N88*6))*12</f>
        <v>-11.412678195541842</v>
      </c>
      <c r="M89" s="2">
        <f t="shared" ref="M89" si="221">COS(RADIANS(N88*6))*12</f>
        <v>-3.7082039324993707</v>
      </c>
      <c r="N89" s="2">
        <v>42.5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2">
        <f t="shared" ref="L90" si="222">SIN(RADIANS(N90*6))*11.5</f>
        <v>-11.248697408438764</v>
      </c>
      <c r="M90" s="2">
        <f t="shared" ref="M90" si="223">COS(RADIANS(N90*6))*11.5</f>
        <v>-2.3909844444042374</v>
      </c>
      <c r="N90" s="2">
        <v>43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2">
        <f t="shared" ref="L91" si="224">SIN(RADIANS(N90*6))*12</f>
        <v>-11.737771208805666</v>
      </c>
      <c r="M91" s="2">
        <f t="shared" ref="M91" si="225">COS(RADIANS(N90*6))*12</f>
        <v>-2.4949402898131172</v>
      </c>
      <c r="N91" s="2">
        <v>43.5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2">
        <f t="shared" ref="L92" si="226">SIN(RADIANS(N92*6))*11.5</f>
        <v>-11.437001796735144</v>
      </c>
      <c r="M92" s="2">
        <f t="shared" ref="M92" si="227">COS(RADIANS(N92*6))*11.5</f>
        <v>-1.2020773275780137</v>
      </c>
      <c r="N92" s="2">
        <v>44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2">
        <f t="shared" ref="L93" si="228">SIN(RADIANS(N92*6))*12</f>
        <v>-11.93426274441928</v>
      </c>
      <c r="M93" s="2">
        <f t="shared" ref="M93" si="229">COS(RADIANS(N92*6))*12</f>
        <v>-1.2543415592118403</v>
      </c>
      <c r="N93" s="2">
        <v>44.5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2">
        <f t="shared" ref="L94" si="230">SIN(RADIANS(N94*6))*11.5</f>
        <v>-11.5</v>
      </c>
      <c r="M94" s="2">
        <f t="shared" ref="M94" si="231">COS(RADIANS(N94*6))*11.5</f>
        <v>-2.1133810847173695E-15</v>
      </c>
      <c r="N94" s="2">
        <v>45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2">
        <f t="shared" ref="L95" si="232">SIN(RADIANS(N94*6))*12</f>
        <v>-12</v>
      </c>
      <c r="M95" s="2">
        <f t="shared" ref="M95" si="233">COS(RADIANS(N94*6))*12</f>
        <v>-2.205267218835516E-15</v>
      </c>
      <c r="N95" s="2">
        <v>45.5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2">
        <f t="shared" ref="L96" si="234">SIN(RADIANS(N96*6))*11.5</f>
        <v>-11.437001796735144</v>
      </c>
      <c r="M96" s="2">
        <f t="shared" ref="M96" si="235">COS(RADIANS(N96*6))*11.5</f>
        <v>1.2020773275780092</v>
      </c>
      <c r="N96" s="2">
        <v>46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2">
        <f t="shared" ref="L97" si="236">SIN(RADIANS(N96*6))*12</f>
        <v>-11.93426274441928</v>
      </c>
      <c r="M97" s="2">
        <f t="shared" ref="M97" si="237">COS(RADIANS(N96*6))*12</f>
        <v>1.2543415592118359</v>
      </c>
      <c r="N97" s="2">
        <v>46.5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2">
        <f t="shared" ref="L98" si="238">SIN(RADIANS(N98*6))*11.5</f>
        <v>-11.248697408438764</v>
      </c>
      <c r="M98" s="2">
        <f t="shared" ref="M98" si="239">COS(RADIANS(N98*6))*11.5</f>
        <v>2.3909844444042334</v>
      </c>
      <c r="N98" s="2">
        <v>47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2">
        <f t="shared" ref="L99" si="240">SIN(RADIANS(N98*6))*12</f>
        <v>-11.737771208805666</v>
      </c>
      <c r="M99" s="2">
        <f t="shared" ref="M99" si="241">COS(RADIANS(N98*6))*12</f>
        <v>2.4949402898131132</v>
      </c>
      <c r="N99" s="2">
        <v>47.5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">
        <f t="shared" ref="L100" si="242">SIN(RADIANS(N100*6))*11.5</f>
        <v>-10.937149937394267</v>
      </c>
      <c r="M100" s="2">
        <f t="shared" ref="M100" si="243">COS(RADIANS(N100*6))*11.5</f>
        <v>3.553695435311893</v>
      </c>
      <c r="N100" s="2">
        <v>48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">
        <f t="shared" ref="L101" si="244">SIN(RADIANS(N100*6))*12</f>
        <v>-11.412678195541844</v>
      </c>
      <c r="M101" s="2">
        <f t="shared" ref="M101" si="245">COS(RADIANS(N100*6))*12</f>
        <v>3.7082039324993668</v>
      </c>
      <c r="N101" s="2">
        <v>48.5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">
        <f t="shared" ref="L102" si="246">SIN(RADIANS(N102*6))*11.5</f>
        <v>-10.505772762889913</v>
      </c>
      <c r="M102" s="2">
        <f t="shared" ref="M102" si="247">COS(RADIANS(N102*6))*11.5</f>
        <v>4.6774713953716969</v>
      </c>
      <c r="N102" s="2">
        <v>49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">
        <f t="shared" ref="L103" si="248">SIN(RADIANS(N102*6))*12</f>
        <v>-10.962545491711213</v>
      </c>
      <c r="M103" s="2">
        <f t="shared" ref="M103" si="249">COS(RADIANS(N102*6))*12</f>
        <v>4.8808397169095974</v>
      </c>
      <c r="N103" s="2">
        <v>49.5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2">
        <f t="shared" ref="L104" si="250">SIN(RADIANS(N104*6))*11.5</f>
        <v>-9.9592921435210435</v>
      </c>
      <c r="M104" s="2">
        <f t="shared" ref="M104" si="251">COS(RADIANS(N104*6))*11.5</f>
        <v>5.7500000000000009</v>
      </c>
      <c r="N104" s="2">
        <v>50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2">
        <f t="shared" ref="L105" si="252">SIN(RADIANS(N104*6))*12</f>
        <v>-10.392304845413264</v>
      </c>
      <c r="M105" s="2">
        <f t="shared" ref="M105" si="253">COS(RADIANS(N104*6))*12</f>
        <v>6.0000000000000018</v>
      </c>
      <c r="N105" s="2">
        <v>50.5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25">
      <c r="L106" s="2">
        <f t="shared" ref="L106" si="254">SIN(RADIANS(N106*6))*11.5</f>
        <v>-9.3036954353118961</v>
      </c>
      <c r="M106" s="2">
        <f t="shared" ref="M106" si="255">COS(RADIANS(N106*6))*11.5</f>
        <v>6.7595304013634383</v>
      </c>
      <c r="N106" s="2">
        <v>51</v>
      </c>
    </row>
    <row r="107" spans="1:25" x14ac:dyDescent="0.25">
      <c r="L107" s="2">
        <f t="shared" ref="L107" si="256">SIN(RADIANS(N106*6))*12</f>
        <v>-9.7082039324993712</v>
      </c>
      <c r="M107" s="2">
        <f t="shared" ref="M107" si="257">COS(RADIANS(N106*6))*12</f>
        <v>7.053423027509675</v>
      </c>
      <c r="N107" s="2">
        <v>51.5</v>
      </c>
    </row>
    <row r="108" spans="1:25" x14ac:dyDescent="0.25">
      <c r="L108" s="2">
        <f t="shared" ref="L108" si="258">SIN(RADIANS(N108*6))*11.5</f>
        <v>-8.5461654929900384</v>
      </c>
      <c r="M108" s="2">
        <f t="shared" ref="M108" si="259">COS(RADIANS(N108*6))*11.5</f>
        <v>7.6950019731268648</v>
      </c>
      <c r="N108" s="2">
        <v>52</v>
      </c>
    </row>
    <row r="109" spans="1:25" x14ac:dyDescent="0.25">
      <c r="L109" s="2">
        <f t="shared" ref="L109" si="260">SIN(RADIANS(N108*6))*12</f>
        <v>-8.9177379057287354</v>
      </c>
      <c r="M109" s="2">
        <f t="shared" ref="M109" si="261">COS(RADIANS(N108*6))*12</f>
        <v>8.0295672763062935</v>
      </c>
      <c r="N109" s="2">
        <v>52.5</v>
      </c>
    </row>
    <row r="110" spans="1:25" x14ac:dyDescent="0.25">
      <c r="L110" s="2">
        <f t="shared" ref="L110" si="262">SIN(RADIANS(N110*6))*11.5</f>
        <v>-7.6950019731268684</v>
      </c>
      <c r="M110" s="2">
        <f t="shared" ref="M110" si="263">COS(RADIANS(N110*6))*11.5</f>
        <v>8.546165492990033</v>
      </c>
      <c r="N110" s="2">
        <v>53</v>
      </c>
    </row>
    <row r="111" spans="1:25" x14ac:dyDescent="0.25">
      <c r="L111" s="2">
        <f t="shared" ref="L111" si="264">SIN(RADIANS(N110*6))*12</f>
        <v>-8.0295672763062971</v>
      </c>
      <c r="M111" s="2">
        <f t="shared" ref="M111" si="265">COS(RADIANS(N110*6))*12</f>
        <v>8.9177379057287318</v>
      </c>
      <c r="N111" s="2">
        <v>53.5</v>
      </c>
    </row>
    <row r="112" spans="1:25" x14ac:dyDescent="0.25">
      <c r="L112" s="2">
        <f t="shared" ref="L112" si="266">SIN(RADIANS(N112*6))*11.5</f>
        <v>-6.7595304013634436</v>
      </c>
      <c r="M112" s="2">
        <f t="shared" ref="M112" si="267">COS(RADIANS(N112*6))*11.5</f>
        <v>9.3036954353118944</v>
      </c>
      <c r="N112" s="2">
        <v>54</v>
      </c>
    </row>
    <row r="113" spans="12:14" x14ac:dyDescent="0.25">
      <c r="L113" s="2">
        <f t="shared" ref="L113" si="268">SIN(RADIANS(N112*6))*12</f>
        <v>-7.0534230275096803</v>
      </c>
      <c r="M113" s="2">
        <f t="shared" ref="M113" si="269">COS(RADIANS(N112*6))*12</f>
        <v>9.7082039324993676</v>
      </c>
      <c r="N113" s="2">
        <v>54.5</v>
      </c>
    </row>
    <row r="114" spans="12:14" x14ac:dyDescent="0.25">
      <c r="L114" s="2">
        <f t="shared" ref="L114" si="270">SIN(RADIANS(N114*6))*11.5</f>
        <v>-5.7500000000000053</v>
      </c>
      <c r="M114" s="2">
        <f t="shared" ref="M114" si="271">COS(RADIANS(N114*6))*11.5</f>
        <v>9.9592921435210418</v>
      </c>
      <c r="N114" s="2">
        <v>55</v>
      </c>
    </row>
    <row r="115" spans="12:14" x14ac:dyDescent="0.25">
      <c r="L115" s="2">
        <f t="shared" ref="L115" si="272">SIN(RADIANS(N114*6))*12</f>
        <v>-6.0000000000000053</v>
      </c>
      <c r="M115" s="2">
        <f t="shared" ref="M115" si="273">COS(RADIANS(N114*6))*12</f>
        <v>10.39230484541326</v>
      </c>
      <c r="N115" s="2">
        <v>55.5</v>
      </c>
    </row>
    <row r="116" spans="12:14" x14ac:dyDescent="0.25">
      <c r="L116" s="2">
        <f t="shared" ref="L116" si="274">SIN(RADIANS(N116*6))*11.5</f>
        <v>-4.6774713953717022</v>
      </c>
      <c r="M116" s="2">
        <f t="shared" ref="M116" si="275">COS(RADIANS(N116*6))*11.5</f>
        <v>10.505772762889912</v>
      </c>
      <c r="N116" s="2">
        <v>56</v>
      </c>
    </row>
    <row r="117" spans="12:14" x14ac:dyDescent="0.25">
      <c r="L117" s="2">
        <f t="shared" ref="L117" si="276">SIN(RADIANS(N116*6))*12</f>
        <v>-4.8808397169096018</v>
      </c>
      <c r="M117" s="2">
        <f t="shared" ref="M117" si="277">COS(RADIANS(N116*6))*12</f>
        <v>10.962545491711211</v>
      </c>
      <c r="N117" s="2">
        <v>56.5</v>
      </c>
    </row>
    <row r="118" spans="12:14" x14ac:dyDescent="0.25">
      <c r="L118" s="2">
        <f t="shared" ref="L118" si="278">SIN(RADIANS(N118*6))*11.5</f>
        <v>-3.5536954353118975</v>
      </c>
      <c r="M118" s="2">
        <f t="shared" ref="M118" si="279">COS(RADIANS(N118*6))*11.5</f>
        <v>10.937149937394265</v>
      </c>
      <c r="N118" s="2">
        <v>57</v>
      </c>
    </row>
    <row r="119" spans="12:14" x14ac:dyDescent="0.25">
      <c r="L119" s="2">
        <f t="shared" ref="L119" si="280">SIN(RADIANS(N118*6))*12</f>
        <v>-3.7082039324993712</v>
      </c>
      <c r="M119" s="2">
        <f t="shared" ref="M119" si="281">COS(RADIANS(N118*6))*12</f>
        <v>11.412678195541842</v>
      </c>
      <c r="N119" s="2">
        <v>57.5</v>
      </c>
    </row>
    <row r="120" spans="12:14" x14ac:dyDescent="0.25">
      <c r="L120" s="2">
        <f t="shared" ref="L120" si="282">SIN(RADIANS(N120*6))*11.5</f>
        <v>-2.3909844444042383</v>
      </c>
      <c r="M120" s="2">
        <f t="shared" ref="M120" si="283">COS(RADIANS(N120*6))*11.5</f>
        <v>11.248697408438764</v>
      </c>
      <c r="N120" s="2">
        <v>58</v>
      </c>
    </row>
    <row r="121" spans="12:14" x14ac:dyDescent="0.25">
      <c r="L121" s="2">
        <f t="shared" ref="L121" si="284">SIN(RADIANS(N120*6))*12</f>
        <v>-2.4949402898131186</v>
      </c>
      <c r="M121" s="2">
        <f t="shared" ref="M121" si="285">COS(RADIANS(N120*6))*12</f>
        <v>11.737771208805666</v>
      </c>
      <c r="N121" s="2">
        <v>58.5</v>
      </c>
    </row>
    <row r="122" spans="12:14" x14ac:dyDescent="0.25">
      <c r="L122" s="2">
        <f t="shared" ref="L122" si="286">SIN(RADIANS(N122*6))*11.5</f>
        <v>-1.2020773275780143</v>
      </c>
      <c r="M122" s="2">
        <f t="shared" ref="M122" si="287">COS(RADIANS(N122*6))*11.5</f>
        <v>11.437001796735142</v>
      </c>
      <c r="N122" s="2">
        <v>59</v>
      </c>
    </row>
    <row r="123" spans="12:14" x14ac:dyDescent="0.25">
      <c r="L123" s="2">
        <f t="shared" ref="L123" si="288">SIN(RADIANS(N122*6))*12</f>
        <v>-1.254341559211841</v>
      </c>
      <c r="M123" s="2">
        <f t="shared" ref="M123" si="289">COS(RADIANS(N122*6))*12</f>
        <v>11.934262744419279</v>
      </c>
      <c r="N123" s="2">
        <v>59.5</v>
      </c>
    </row>
    <row r="124" spans="12:14" x14ac:dyDescent="0.25">
      <c r="L124" s="2">
        <f t="shared" ref="L124" si="290">SIN(RADIANS(N124*6))*11.5</f>
        <v>-2.817841446289826E-15</v>
      </c>
      <c r="M124" s="2">
        <f t="shared" ref="M124" si="291">COS(RADIANS(N124*6))*11.5</f>
        <v>11.5</v>
      </c>
      <c r="N124" s="2">
        <v>60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Zagary</vt:lpstr>
      <vt:lpstr>Arkusz1</vt:lpstr>
      <vt:lpstr>Arkusz3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2016-12-27T03:30:36Z</dcterms:created>
  <dcterms:modified xsi:type="dcterms:W3CDTF">2017-01-04T03:12:47Z</dcterms:modified>
</cp:coreProperties>
</file>